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f81afd1b8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4b78f7778f64360"/>
    <x:sheet xmlns:r="http://schemas.openxmlformats.org/officeDocument/2006/relationships" name="Laboratorio" sheetId="2" r:id="R661a837a1fb5451e"/>
    <x:sheet xmlns:r="http://schemas.openxmlformats.org/officeDocument/2006/relationships" name="Riesgos" sheetId="3" r:id="Rda2b4cad54234012"/>
    <x:sheet xmlns:r="http://schemas.openxmlformats.org/officeDocument/2006/relationships" name="Detalle EEFF" sheetId="4" r:id="Ra2a724ccb4b9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S/ #,##0;[Red](S/ #,##0);-"/>
    <x:numFmt numFmtId="201" formatCode="0"/>
    <x:numFmt numFmtId="202" formatCode="0.00x;[Red](0.00x);-"/>
    <x:numFmt numFmtId="203" formatCode="0.0%;[Red](0.0%);-"/>
    <x:numFmt numFmtId="204" formatCode="0.0 &quot;días&quot;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i/>
      <x:sz val="11"/>
      <x:color rgb="FF17365D"/>
      <x:name val="Carlito"/>
    </x:font>
    <x:font>
      <x:sz val="10"/>
      <x:name val="Carlito"/>
    </x:font>
    <x:font>
      <x:b/>
      <x:sz val="17"/>
      <x:color rgb="FFFFFFFF"/>
      <x:name val="Carlito"/>
    </x:font>
    <x:font>
      <x:b/>
      <x:sz val="11"/>
      <x:color rgb="FF0000FF"/>
      <x:name val="Carlito"/>
    </x:font>
    <x:font>
      <x:b/>
      <x:sz val="11"/>
      <x:color rgb="FF7A351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i/>
      <x:sz val="10"/>
      <x:name val="Carlito"/>
    </x:font>
    <x:font>
      <x:b/>
      <x:sz val="16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0A99D"/>
      </x:patternFill>
    </x:fill>
    <x:fill>
      <x:patternFill patternType="solid">
        <x:fgColor rgb="FF0B4F7C"/>
      </x:patternFill>
    </x:fill>
    <x:fill>
      <x:patternFill patternType="solid">
        <x:fgColor rgb="FFDCECF7"/>
      </x:patternFill>
    </x:fill>
    <x:fill>
      <x:patternFill patternType="solid">
        <x:fgColor rgb="FFFFD84D"/>
      </x:patternFill>
    </x:fill>
    <x:fill>
      <x:patternFill patternType="solid">
        <x:fgColor rgb="FFEAF5E7"/>
      </x:patternFill>
    </x:fill>
    <x:fill>
      <x:patternFill patternType="solid">
        <x:fgColor rgb="FFFFF0E5"/>
      </x:patternFill>
    </x:fill>
    <x:fill>
      <x:patternFill patternType="solid">
        <x:fgColor rgb="FFE7F7F5"/>
      </x:patternFill>
    </x:fill>
    <x:fill>
      <x:patternFill patternType="solid">
        <x:fgColor rgb="FFF4F6F7"/>
      </x:patternFill>
    </x:fill>
    <x:fill>
      <x:patternFill patternType="solid">
        <x:fgColor rgb="FFFFF7C7"/>
      </x:patternFill>
    </x:fill>
    <x:fill>
      <x:patternFill patternType="solid">
        <x:fgColor rgb="FFF58220"/>
      </x:patternFill>
    </x:fill>
    <x:fill>
      <x:patternFill patternType="solid">
        <x:fgColor rgb="FF17365D"/>
      </x:patternFill>
    </x:fill>
    <x:fill>
      <x:patternFill patternType="solid">
        <x:fgColor rgb="FFE7F7F5"/>
      </x:patternFill>
    </x:fill>
    <x:fill>
      <x:patternFill patternType="solid">
        <x:fgColor rgb="FF0B4F7C"/>
      </x:patternFill>
    </x:fill>
    <x:fill>
      <x:patternFill patternType="solid">
        <x:fgColor rgb="FFEAF5E7"/>
      </x:patternFill>
    </x:fill>
    <x:fill>
      <x:patternFill patternType="solid">
        <x:fgColor rgb="FFDCECF7"/>
      </x:patternFill>
    </x:fill>
  </x:fills>
  <x:borders count="2">
    <x:border/>
    <x:border/>
  </x:borders>
  <x:cellStyleXfs count="1">
    <x:xf numFmtId="0" fontId="0" fillId="0" borderId="0"/>
  </x:cellStyleXfs>
  <x:cellXfs count="2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9" fillId="11" borderId="1" xfId="0" applyNumberFormat="1" applyFont="1" applyFill="1" applyBorder="1"/>
    <x:xf numFmtId="0" fontId="9" fillId="11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200" fontId="11" fillId="0" borderId="0" xfId="0" applyNumberFormat="1" applyFont="1" applyFill="1" applyBorder="1"/>
    <x:xf numFmtId="200" fontId="12" fillId="0" borderId="0" xfId="0" applyNumberFormat="1" applyFont="1" applyFill="1" applyBorder="1"/>
    <x:xf numFmtId="200" fontId="11" fillId="0" borderId="1" xfId="0" applyNumberFormat="1" applyFont="1" applyFill="1" applyBorder="1"/>
    <x:xf numFmtId="200" fontId="12" fillId="0" borderId="1" xfId="0" applyNumberFormat="1" applyFont="1" applyFill="1" applyBorder="1"/>
    <x:xf numFmtId="201" fontId="11" fillId="0" borderId="0" xfId="0" applyNumberFormat="1" applyFont="1" applyFill="1" applyBorder="1"/>
    <x:xf numFmtId="201" fontId="12" fillId="0" borderId="0" xfId="0" applyNumberFormat="1" applyFont="1" applyFill="1" applyBorder="1"/>
    <x:xf numFmtId="201" fontId="11" fillId="0" borderId="1" xfId="0" applyNumberFormat="1" applyFont="1" applyFill="1" applyBorder="1"/>
    <x:xf numFmtId="201" fontId="12" fillId="0" borderId="1" xfId="0" applyNumberFormat="1" applyFont="1" applyFill="1" applyBorder="1"/>
    <x:xf numFmtId="200" fontId="11" fillId="0" borderId="0" xfId="0" applyNumberFormat="1" applyFont="1" applyFill="1" applyBorder="1" applyAlignment="1">
      <x:alignment wrapText="1"/>
    </x:xf>
    <x:xf numFmtId="200" fontId="12" fillId="0" borderId="0" xfId="0" applyNumberFormat="1" applyFont="1" applyFill="1" applyBorder="1" applyAlignment="1">
      <x:alignment wrapText="1"/>
    </x:xf>
    <x:xf numFmtId="201" fontId="11" fillId="0" borderId="0" xfId="0" applyNumberFormat="1" applyFont="1" applyFill="1" applyBorder="1" applyAlignment="1">
      <x:alignment wrapText="1"/>
    </x:xf>
    <x:xf numFmtId="201" fontId="12" fillId="0" borderId="0" xfId="0" applyNumberFormat="1" applyFont="1" applyFill="1" applyBorder="1" applyAlignment="1">
      <x:alignment wrapText="1"/>
    </x:xf>
    <x:xf numFmtId="200" fontId="11" fillId="0" borderId="1" xfId="0" applyNumberFormat="1" applyFont="1" applyFill="1" applyBorder="1" applyAlignment="1">
      <x:alignment wrapText="1"/>
    </x:xf>
    <x:xf numFmtId="200" fontId="12" fillId="0" borderId="1" xfId="0" applyNumberFormat="1" applyFont="1" applyFill="1" applyBorder="1" applyAlignment="1">
      <x:alignment wrapText="1"/>
    </x:xf>
    <x:xf numFmtId="201" fontId="11" fillId="0" borderId="1" xfId="0" applyNumberFormat="1" applyFont="1" applyFill="1" applyBorder="1" applyAlignment="1">
      <x:alignment wrapText="1"/>
    </x:xf>
    <x:xf numFmtId="201" fontId="12" fillId="0" borderId="1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horizontal="right" wrapText="1"/>
    </x:xf>
    <x:xf numFmtId="200" fontId="12" fillId="0" borderId="0" xfId="0" applyNumberFormat="1" applyFont="1" applyFill="1" applyBorder="1" applyAlignment="1">
      <x:alignment horizontal="right" wrapText="1"/>
    </x:xf>
    <x:xf numFmtId="201" fontId="11" fillId="0" borderId="0" xfId="0" applyNumberFormat="1" applyFont="1" applyFill="1" applyBorder="1" applyAlignment="1">
      <x:alignment horizontal="right" wrapText="1"/>
    </x:xf>
    <x:xf numFmtId="201" fontId="12" fillId="0" borderId="0" xfId="0" applyNumberFormat="1" applyFont="1" applyFill="1" applyBorder="1" applyAlignment="1">
      <x:alignment horizontal="right" wrapText="1"/>
    </x:xf>
    <x:xf numFmtId="200" fontId="11" fillId="0" borderId="1" xfId="0" applyNumberFormat="1" applyFont="1" applyFill="1" applyBorder="1" applyAlignment="1">
      <x:alignment horizontal="right" wrapText="1"/>
    </x:xf>
    <x:xf numFmtId="200" fontId="12" fillId="0" borderId="1" xfId="0" applyNumberFormat="1" applyFont="1" applyFill="1" applyBorder="1" applyAlignment="1">
      <x:alignment horizontal="right" wrapText="1"/>
    </x:xf>
    <x:xf numFmtId="201" fontId="11" fillId="0" borderId="1" xfId="0" applyNumberFormat="1" applyFont="1" applyFill="1" applyBorder="1" applyAlignment="1">
      <x:alignment horizontal="right" wrapText="1"/>
    </x:xf>
    <x:xf numFmtId="201" fontId="12" fillId="0" borderId="1" xfId="0" applyNumberFormat="1" applyFont="1" applyFill="1" applyBorder="1" applyAlignment="1">
      <x:alignment horizontal="right" wrapText="1"/>
    </x:xf>
    <x:xf numFmtId="200" fontId="11" fillId="11" borderId="0" xfId="0" applyNumberFormat="1" applyFont="1" applyFill="1" applyBorder="1" applyAlignment="1">
      <x:alignment horizontal="right" wrapText="1"/>
    </x:xf>
    <x:xf numFmtId="200" fontId="11" fillId="11" borderId="1" xfId="0" applyNumberFormat="1" applyFont="1" applyFill="1" applyBorder="1" applyAlignment="1">
      <x:alignment horizontal="right" wrapText="1"/>
    </x:xf>
    <x:xf numFmtId="201" fontId="11" fillId="11" borderId="0" xfId="0" applyNumberFormat="1" applyFont="1" applyFill="1" applyBorder="1" applyAlignment="1">
      <x:alignment horizontal="right" wrapText="1"/>
    </x:xf>
    <x:xf numFmtId="201" fontId="11" fillId="11" borderId="1" xfId="0" applyNumberFormat="1" applyFont="1" applyFill="1" applyBorder="1" applyAlignment="1">
      <x:alignment horizontal="right" wrapText="1"/>
    </x:xf>
    <x:xf numFmtId="200" fontId="11" fillId="7" borderId="0" xfId="0" applyNumberFormat="1" applyFont="1" applyFill="1" applyBorder="1" applyAlignment="1">
      <x:alignment horizontal="right" wrapText="1"/>
    </x:xf>
    <x:xf numFmtId="200" fontId="11" fillId="7" borderId="1" xfId="0" applyNumberFormat="1" applyFont="1" applyFill="1" applyBorder="1" applyAlignment="1">
      <x:alignment horizontal="right" wrapText="1"/>
    </x:xf>
    <x:xf numFmtId="200" fontId="12" fillId="7" borderId="0" xfId="0" applyNumberFormat="1" applyFont="1" applyFill="1" applyBorder="1" applyAlignment="1">
      <x:alignment horizontal="right" wrapText="1"/>
    </x:xf>
    <x:xf numFmtId="201" fontId="12" fillId="7" borderId="0" xfId="0" applyNumberFormat="1" applyFont="1" applyFill="1" applyBorder="1" applyAlignment="1">
      <x:alignment horizontal="right" wrapText="1"/>
    </x:xf>
    <x:xf numFmtId="200" fontId="12" fillId="7" borderId="1" xfId="0" applyNumberFormat="1" applyFont="1" applyFill="1" applyBorder="1" applyAlignment="1">
      <x:alignment horizontal="right" wrapText="1"/>
    </x:xf>
    <x:xf numFmtId="201" fontId="12" fillId="7" borderId="1" xfId="0" applyNumberFormat="1" applyFont="1" applyFill="1" applyBorder="1" applyAlignment="1">
      <x:alignment horizontal="right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13" fillId="0" borderId="0" xfId="0" applyNumberFormat="1" applyFont="1" applyFill="1" applyBorder="1"/>
    <x:xf numFmtId="0" fontId="13" fillId="0" borderId="1" xfId="0" applyNumberFormat="1" applyFont="1" applyFill="1" applyBorder="1"/>
    <x:xf numFmtId="202" fontId="13" fillId="0" borderId="0" xfId="0" applyNumberFormat="1" applyFont="1" applyFill="1" applyBorder="1"/>
    <x:xf numFmtId="202" fontId="13" fillId="0" borderId="1" xfId="0" applyNumberFormat="1" applyFont="1" applyFill="1" applyBorder="1"/>
    <x:xf numFmtId="203" fontId="13" fillId="0" borderId="0" xfId="0" applyNumberFormat="1" applyFont="1" applyFill="1" applyBorder="1"/>
    <x:xf numFmtId="203" fontId="13" fillId="0" borderId="1" xfId="0" applyNumberFormat="1" applyFont="1" applyFill="1" applyBorder="1"/>
    <x:xf numFmtId="204" fontId="13" fillId="0" borderId="0" xfId="0" applyNumberFormat="1" applyFont="1" applyFill="1" applyBorder="1"/>
    <x:xf numFmtId="204" fontId="13" fillId="0" borderId="1" xfId="0" applyNumberFormat="1" applyFont="1" applyFill="1" applyBorder="1"/>
    <x:xf numFmtId="202" fontId="13" fillId="0" borderId="0" xfId="0" applyNumberFormat="1" applyFont="1" applyFill="1" applyBorder="1" applyAlignment="1">
      <x:alignment wrapText="1"/>
    </x:xf>
    <x:xf numFmtId="203" fontId="13" fillId="0" borderId="0" xfId="0" applyNumberFormat="1" applyFont="1" applyFill="1" applyBorder="1" applyAlignment="1">
      <x:alignment wrapText="1"/>
    </x:xf>
    <x:xf numFmtId="204" fontId="13" fillId="0" borderId="0" xfId="0" applyNumberFormat="1" applyFont="1" applyFill="1" applyBorder="1" applyAlignment="1">
      <x:alignment wrapText="1"/>
    </x:xf>
    <x:xf numFmtId="202" fontId="13" fillId="0" borderId="1" xfId="0" applyNumberFormat="1" applyFont="1" applyFill="1" applyBorder="1" applyAlignment="1">
      <x:alignment wrapText="1"/>
    </x:xf>
    <x:xf numFmtId="203" fontId="13" fillId="0" borderId="1" xfId="0" applyNumberFormat="1" applyFont="1" applyFill="1" applyBorder="1" applyAlignment="1">
      <x:alignment wrapText="1"/>
    </x:xf>
    <x:xf numFmtId="204" fontId="13" fillId="0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1" xfId="0" applyNumberFormat="1" applyFont="1" applyFill="1" applyBorder="1"/>
    <x:xf numFmtId="0" fontId="14" fillId="11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wrapText="1"/>
    </x:xf>
    <x:xf numFmtId="0" fontId="11" fillId="11" borderId="1" xfId="0" applyNumberFormat="1" applyFont="1" applyFill="1" applyBorder="1" applyAlignment="1">
      <x:alignment wrapText="1"/>
    </x:xf>
    <x:xf numFmtId="0" fontId="11" fillId="11" borderId="0" xfId="0" applyNumberFormat="1" applyFont="1" applyFill="1" applyBorder="1"/>
    <x:xf numFmtId="0" fontId="11" fillId="11" borderId="1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horizontal="center"/>
    </x:xf>
    <x:xf numFmtId="0" fontId="15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200" fontId="0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 applyAlignment="1">
      <x:alignment wrapText="1"/>
    </x:xf>
    <x:xf numFmtId="200" fontId="5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76B2C"/>
      </x:font>
      <x:fill>
        <x:patternFill>
          <x:bgColor rgb="FFDFF2DF"/>
        </x:patternFill>
      </x:fill>
    </x:dxf>
    <x:dxf>
      <x:font>
        <x:color rgb="FFA61B1B"/>
      </x:font>
      <x:fill>
        <x:patternFill>
          <x:bgColor rgb="FFFDE2E2"/>
        </x:patternFill>
      </x:fill>
    </x:dxf>
    <x:dxf>
      <x:font>
        <x:color rgb="FF176B2C"/>
      </x:font>
      <x:fill>
        <x:patternFill>
          <x:bgColor rgb="FFDFF2DF"/>
        </x:patternFill>
      </x:fill>
    </x:dxf>
    <x:dxf>
      <x:font>
        <x:color rgb="FFA61B1B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86809b03c4207" /><Relationship Type="http://schemas.openxmlformats.org/officeDocument/2006/relationships/theme" Target="/xl/theme/theme1.xml" Id="Rd21142ae95ce4af3" /><Relationship Type="http://schemas.openxmlformats.org/officeDocument/2006/relationships/sharedStrings" Target="/xl/sharedStrings.xml" Id="R43787e624e3e4f35" /><Relationship Type="http://schemas.openxmlformats.org/officeDocument/2006/relationships/worksheet" Target="/xl/worksheets/sheet1.xml" Id="Rf4b78f7778f64360" /><Relationship Type="http://schemas.openxmlformats.org/officeDocument/2006/relationships/worksheet" Target="/xl/worksheets/sheet2.xml" Id="R661a837a1fb5451e" /><Relationship Type="http://schemas.openxmlformats.org/officeDocument/2006/relationships/worksheet" Target="/xl/worksheets/sheet3.xml" Id="Rda2b4cad54234012" /><Relationship Type="http://schemas.openxmlformats.org/officeDocument/2006/relationships/worksheet" Target="/xl/worksheets/sheet4.xml" Id="Ra2a724ccb4b94a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ADMINISTRACIÓN BANCARIA · SESIÓN 4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Laboratorio financiero: de los estados financieros a la interpretación contextual del riesgo</x:v>
      </x:c>
      <x:c r="B3" s="12"/>
      <x:c r="C3" s="12"/>
      <x:c r="D3" s="12"/>
      <x:c r="E3" s="12"/>
      <x:c r="F3" s="12"/>
      <x:c r="G3" s="12"/>
      <x:c r="H3" s="12"/>
    </x:row>
    <x:row r="5">
      <x:c r="A5" s="18" t="str">
        <x:v>PROPÓSITO</x:v>
      </x:c>
      <x:c r="B5" s="18" t="str"/>
      <x:c r="C5" s="18" t="str"/>
      <x:c r="D5" s="18" t="str"/>
      <x:c r="E5" s="18" t="str"/>
      <x:c r="F5" s="18" t="str"/>
      <x:c r="G5" s="18" t="str"/>
      <x:c r="H5" s="18" t="str"/>
    </x:row>
    <x:row r="6">
      <x:c r="A6" s="24" t="str">
        <x:v>Este archivo no busca enseñar a memorizar fórmulas. Busca que el estudiante relacione dato → ratio → lectura literal → contexto → decisión. Los valores del caso Panadería Horizonte son didácticos y no constituyen umbrales universales de aprobación crediticia.</x:v>
      </x:c>
      <x:c r="B6" s="24"/>
      <x:c r="C6" s="24"/>
      <x:c r="D6" s="24"/>
      <x:c r="E6" s="24"/>
      <x:c r="F6" s="24"/>
      <x:c r="G6" s="24"/>
      <x:c r="H6" s="24"/>
    </x:row>
    <x:row r="7">
      <x:c r="A7" s="24"/>
      <x:c r="B7" s="24"/>
      <x:c r="C7" s="24"/>
      <x:c r="D7" s="24"/>
      <x:c r="E7" s="24"/>
      <x:c r="F7" s="24"/>
      <x:c r="G7" s="24"/>
      <x:c r="H7" s="24"/>
    </x:row>
    <x:row r="8">
      <x:c r="A8" s="24"/>
      <x:c r="B8" s="24"/>
      <x:c r="C8" s="24"/>
      <x:c r="D8" s="24"/>
      <x:c r="E8" s="24"/>
      <x:c r="F8" s="24"/>
      <x:c r="G8" s="24"/>
      <x:c r="H8" s="24"/>
    </x:row>
    <x:row r="10">
      <x:c r="A10" s="29" t="str">
        <x:v>COLOR / TIPO</x:v>
      </x:c>
      <x:c r="B10" s="29" t="str">
        <x:v>SIGNIFICADO</x:v>
      </x:c>
      <x:c r="C10" s="29" t="str">
        <x:v>EJEMPLO</x:v>
      </x:c>
      <x:c r="D10" s="29" t="str">
        <x:v>USO</x:v>
      </x:c>
    </x:row>
    <x:row r="11">
      <x:c r="A11" s="34" t="str">
        <x:v>Entrada</x:v>
      </x:c>
      <x:c r="B11" t="str">
        <x:v>Dato editable / supuesto</x:v>
      </x:c>
      <x:c r="C11" t="str">
        <x:v>S/ 120,000</x:v>
      </x:c>
      <x:c r="D11" t="str">
        <x:v>Puede modificarse para explorar escenarios</x:v>
      </x:c>
    </x:row>
    <x:row r="12">
      <x:c r="A12" s="36" t="str">
        <x:v>Cálculo</x:v>
      </x:c>
      <x:c r="B12" t="str">
        <x:v>Fórmula automática</x:v>
      </x:c>
      <x:c r="C12" t="str">
        <x:v>Liquidez = AC / PC</x:v>
      </x:c>
      <x:c r="D12" t="str">
        <x:v>No editar</x:v>
      </x:c>
    </x:row>
    <x:row r="13">
      <x:c r="A13" s="38" t="str">
        <x:v>Contexto</x:v>
      </x:c>
      <x:c r="B13" t="str">
        <x:v>Pregunta de análisis</x:v>
      </x:c>
      <x:c r="C13" t="str">
        <x:v>¿Qué compone el activo corriente?</x:v>
      </x:c>
      <x:c r="D13" t="str">
        <x:v>Evita interpretar el ratio de forma mecánica</x:v>
      </x:c>
    </x:row>
    <x:row r="14">
      <x:c r="A14" s="40" t="str">
        <x:v>Advertencia</x:v>
      </x:c>
      <x:c r="B14" t="str">
        <x:v>Dato pendiente o lectura no universal</x:v>
      </x:c>
      <x:c r="C14" t="str">
        <x:v>No existe ratio mágico</x:v>
      </x:c>
      <x:c r="D14" t="str">
        <x:v>Obliga a revisar el caso completo</x:v>
      </x:c>
    </x:row>
    <x:row r="16">
      <x:c r="A16" s="17" t="str">
        <x:v>CÓMO USAR EL LABORATORIO</x:v>
      </x:c>
      <x:c r="B16" s="17"/>
      <x:c r="C16" s="17"/>
      <x:c r="D16" s="17"/>
      <x:c r="E16" s="17"/>
      <x:c r="F16" s="17"/>
      <x:c r="G16" s="17"/>
      <x:c r="H16" s="17"/>
    </x:row>
    <x:row r="17">
      <x:c r="A17" s="44" t="str">
        <x:v>1</x:v>
      </x:c>
      <x:c r="B17" s="48" t="str">
        <x:v>Abra la hoja Laboratorio y seleccione un escenario.</x:v>
      </x:c>
    </x:row>
    <x:row r="18">
      <x:c r="A18" s="44" t="str">
        <x:v>2</x:v>
      </x:c>
      <x:c r="B18" s="48" t="str">
        <x:v>Revise los datos base y los valores ajustados.</x:v>
      </x:c>
    </x:row>
    <x:row r="19">
      <x:c r="A19" s="44" t="str">
        <x:v>3</x:v>
      </x:c>
      <x:c r="B19" s="48" t="str">
        <x:v>Observe cómo cambian los ratios y responda mentalmente las preguntas contextuales.</x:v>
      </x:c>
    </x:row>
    <x:row r="20">
      <x:c r="A20" s="44" t="str">
        <x:v>4</x:v>
      </x:c>
      <x:c r="B20" s="48" t="str">
        <x:v>Pase a la hoja Riesgos para valorar probabilidad, impacto y controles.</x:v>
      </x:c>
    </x:row>
    <x:row r="21">
      <x:c r="A21" s="44" t="str">
        <x:v>5</x:v>
      </x:c>
      <x:c r="B21" s="48" t="str">
        <x:v>No confunda un buen ratio con una aprobación automática: la decisión es integrada.</x:v>
      </x:c>
    </x:row>
    <x:row r="23">
      <x:c r="A23" s="52" t="str">
        <x:v>Elaborado por: Mg. Ricardo Puccio Alvarado · ripua@gmail.com</x:v>
      </x:c>
      <x:c r="B23" s="52"/>
      <x:c r="C23" s="52"/>
      <x:c r="D23" s="52"/>
      <x:c r="E23" s="52"/>
      <x:c r="F23" s="52"/>
      <x:c r="G23" s="52"/>
      <x:c r="H23" s="52"/>
    </x:row>
    <x:row r="25">
      <x:c r="A25" s="58" t="str">
        <x:v>Fuentes del caso: material de clase “SESIÓN 4_ADMINISTRACIÓN BANCARIA” y artículo de la Sesión 4. Los supuestos adicionales para eficiencia están identificados expresamente como didácticos.</x:v>
      </x:c>
      <x:c r="B25" s="58"/>
      <x:c r="C25" s="58"/>
      <x:c r="D25" s="58"/>
      <x:c r="E25" s="58"/>
      <x:c r="F25" s="58"/>
      <x:c r="G25" s="58"/>
      <x:c r="H25" s="58"/>
    </x:row>
    <x:row r="26">
      <x:c r="A26" s="58"/>
      <x:c r="B26" s="58"/>
      <x:c r="C26" s="58"/>
      <x:c r="D26" s="58"/>
      <x:c r="E26" s="58"/>
      <x:c r="F26" s="58"/>
      <x:c r="G26" s="58"/>
      <x:c r="H26" s="58"/>
    </x:row>
    <x:row r="27">
      <x:c r="A27" s="58"/>
      <x:c r="B27" s="58"/>
      <x:c r="C27" s="58"/>
      <x:c r="D27" s="58"/>
      <x:c r="E27" s="58"/>
      <x:c r="F27" s="58"/>
      <x:c r="G27" s="58"/>
      <x:c r="H27" s="58"/>
    </x:row>
  </x:sheetData>
  <x:mergeCells>
    <x:mergeCell ref="A1:H2"/>
    <x:mergeCell ref="A3:H3"/>
    <x:mergeCell ref="A5:H5"/>
    <x:mergeCell ref="A6:H8"/>
    <x:mergeCell ref="A16:H16"/>
    <x:mergeCell ref="A23:H23"/>
    <x:mergeCell ref="A25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9" hidden="0" customWidth="1"/>
    <x:col min="5" max="5" width="29" hidden="0" customWidth="1"/>
    <x:col min="6" max="6" width="34" hidden="0" customWidth="1"/>
    <x:col min="7" max="7" width="36" hidden="0" customWidth="1"/>
    <x:col min="8" max="8" width="12" hidden="0" customWidth="1"/>
    <x:col min="9" max="9" width="3" hidden="0" customWidth="1"/>
    <x:col min="10" max="10" width="23" hidden="0" customWidth="1"/>
    <x:col min="11" max="11" width="28" hidden="0" customWidth="1"/>
    <x:col min="12" max="12" width="14" hidden="0" customWidth="1"/>
    <x:col min="13" max="13" width="34" hidden="0" customWidth="1"/>
    <x:col min="14" max="14" width="36" hidden="0" customWidth="1"/>
    <x:col min="15" max="15" width="35" hidden="0" customWidth="1"/>
    <x:col min="16" max="16" width="31" hidden="0" customWidth="1"/>
  </x:cols>
  <x:sheetData>
    <x:row r="1">
      <x:c r="A1" s="64" t="str">
        <x:v>LABORATORIO · RADIOGRAFÍA FINANCIERA Y RATIOS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</x:row>
    <x:row r="4">
      <x:c r="A4" s="69" t="str">
        <x:v>Escenario</x:v>
      </x:c>
      <x:c r="B4" s="73" t="str">
        <x:v>Base</x:v>
      </x:c>
      <x:c r="D4" s="78" t="str">
        <x:v>Cambie el escenario y observe qué cambia. El mismo ratio puede contar una historia distinta según la composición de las cuentas, el sector y el momento del negocio.</x:v>
      </x:c>
      <x:c r="E4" s="78"/>
      <x:c r="F4" s="78"/>
      <x:c r="G4" s="78"/>
      <x:c r="H4" s="78"/>
      <x:c r="J4" s="85" t="str">
        <x:v>Regla del laboratorio: un ratio es una señal, no una sentencia. Interprete siempre junto con caja, deuda, calidad de datos, actividad y riesgo.</x:v>
      </x:c>
      <x:c r="K4" s="85"/>
      <x:c r="L4" s="85"/>
      <x:c r="M4" s="85"/>
      <x:c r="N4" s="85"/>
      <x:c r="O4" s="85"/>
      <x:c r="P4" s="85"/>
    </x:row>
    <x:row r="5">
      <x:c r="D5" s="78"/>
      <x:c r="E5" s="78"/>
      <x:c r="F5" s="78"/>
      <x:c r="G5" s="78"/>
      <x:c r="H5" s="78"/>
      <x:c r="J5" s="85"/>
      <x:c r="K5" s="85"/>
      <x:c r="L5" s="85"/>
      <x:c r="M5" s="85"/>
      <x:c r="N5" s="85"/>
      <x:c r="O5" s="85"/>
      <x:c r="P5" s="85"/>
    </x:row>
    <x:row r="8">
      <x:c r="A8" s="91" t="str">
        <x:v>Dato</x:v>
      </x:c>
      <x:c r="B8" s="91" t="str">
        <x:v>Caso base</x:v>
      </x:c>
      <x:c r="C8" s="91" t="str">
        <x:v>Escenario</x:v>
      </x:c>
      <x:c r="D8" s="91" t="str">
        <x:v>Unidad</x:v>
      </x:c>
      <x:c r="E8" s="91" t="str">
        <x:v>Evidencia simulada</x:v>
      </x:c>
      <x:c r="F8" s="91" t="str">
        <x:v>¿Qué debo preguntarme?</x:v>
      </x:c>
      <x:c r="G8" s="91" t="str">
        <x:v>Qué puede cambiar la lectura</x:v>
      </x:c>
      <x:c r="H8" s="91" t="str">
        <x:v>Tipo</x:v>
      </x:c>
      <x:c r="J8" s="134" t="str">
        <x:v>Indicador</x:v>
      </x:c>
      <x:c r="K8" s="134" t="str">
        <x:v>Fórmula conceptual</x:v>
      </x:c>
      <x:c r="L8" s="134" t="str">
        <x:v>Resultado</x:v>
      </x:c>
      <x:c r="M8" s="134" t="str">
        <x:v>Lectura literal</x:v>
      </x:c>
      <x:c r="N8" s="134" t="str">
        <x:v>Pregunta contextual</x:v>
      </x:c>
      <x:c r="O8" s="134" t="str">
        <x:v>Qué puede cambiar la lectura</x:v>
      </x:c>
      <x:c r="P8" s="134" t="str">
        <x:v>Señal inicial</x:v>
      </x:c>
    </x:row>
    <x:row r="9">
      <x:c r="A9" s="48" t="str">
        <x:v>Activo total</x:v>
      </x:c>
      <x:c r="B9" s="122" t="n">
        <x:v>200000</x:v>
      </x:c>
      <x:c r="C9" s="128" t="n">
        <x:f>B9</x:f>
        <x:v>200000</x:v>
      </x:c>
      <x:c r="D9" s="48" t="str">
        <x:v>S/</x:v>
      </x:c>
      <x:c r="E9" s="48" t="str">
        <x:v>Arqueo de caja, estados de cuenta bancarios, cuentas por cobrar documentadas, kardex e inventario, facturas/registro de activos fijos.</x:v>
      </x:c>
      <x:c r="F9" s="48" t="str">
        <x:v>¿En qué activos está invertido el dinero?</x:v>
      </x:c>
      <x:c r="G9" s="48" t="str">
        <x:v>La calidad y liquidez de los activos.</x:v>
      </x:c>
      <x:c r="H9" s="48" t="str">
        <x:v>Fuente</x:v>
      </x:c>
      <x:c r="J9" s="48" t="str">
        <x:v>Liquidez corriente</x:v>
      </x:c>
      <x:c r="K9" s="48" t="str">
        <x:v>Activo corriente / Pasivo corriente</x:v>
      </x:c>
      <x:c r="L9" s="146" t="n">
        <x:f>IFERROR(C12/C13,0)</x:f>
        <x:v>2</x:v>
      </x:c>
      <x:c r="M9" s="48" t="str">
        <x:v>Cuántos soles de activo corriente existen por cada sol de pasivo corriente.</x:v>
      </x:c>
      <x:c r="N9" s="48" t="str">
        <x:v>¿Ese activo es realmente convertible en efectivo a tiempo?</x:v>
      </x:c>
      <x:c r="O9" s="48" t="str">
        <x:v>Caja, calidad de cuentas por cobrar, inventarios y calendario de vencimientos.</x:v>
      </x:c>
      <x:c r="P9" s="23" t="str">
        <x:f>IF(L9&gt;1,"Cobertura &gt; 1: señal inicial favorable; validar composición","Cobertura ≤ 1: exige atención")</x:f>
        <x:v>Cobertura &gt; 1: señal inicial favorable; validar composición</x:v>
      </x:c>
    </x:row>
    <x:row r="10">
      <x:c r="A10" s="48" t="str">
        <x:v>Pasivo total</x:v>
      </x:c>
      <x:c r="B10" s="122" t="n">
        <x:v>100000</x:v>
      </x:c>
      <x:c r="C10" s="128" t="n">
        <x:f>B10</x:f>
        <x:v>100000</x:v>
      </x:c>
      <x:c r="D10" s="48" t="str">
        <x:v>S/</x:v>
      </x:c>
      <x:c r="E10" s="48" t="str">
        <x:v>Reporte de obligaciones, cronogramas de deuda, cuentas por pagar a proveedores, contratos y otras obligaciones documentadas.</x:v>
      </x:c>
      <x:c r="F10" s="48" t="str">
        <x:v>¿Cuánto del negocio está financiado por terceros?</x:v>
      </x:c>
      <x:c r="G10" s="48" t="str">
        <x:v>Plazos, tasas y concentración de deuda.</x:v>
      </x:c>
      <x:c r="H10" s="48" t="str">
        <x:v>Fuente</x:v>
      </x:c>
      <x:c r="J10" s="48" t="str">
        <x:v>Prueba ácida</x:v>
      </x:c>
      <x:c r="K10" s="48" t="str">
        <x:v>(Activo corriente - Inventarios) / Pasivo corriente</x:v>
      </x:c>
      <x:c r="L10" s="146" t="n">
        <x:f>IFERROR((C12-C14)/C13,0)</x:f>
        <x:v>1.5</x:v>
      </x:c>
      <x:c r="M10" s="48" t="str">
        <x:v>Cobertura de corto plazo excluyendo inventarios.</x:v>
      </x:c>
      <x:c r="N10" s="48" t="str">
        <x:v>¿La empresa puede responder sin depender de vender stock?</x:v>
      </x:c>
      <x:c r="O10" s="48" t="str">
        <x:v>Tipo de negocio, velocidad de cobro y composición del activo corriente.</x:v>
      </x:c>
      <x:c r="P10" s="23" t="str">
        <x:f>"Sin umbral universal en el material"</x:f>
        <x:v>Sin umbral universal en el material</x:v>
      </x:c>
    </x:row>
    <x:row r="11">
      <x:c r="A11" s="48" t="str">
        <x:v>Patrimonio</x:v>
      </x:c>
      <x:c r="B11" s="126" t="n">
        <x:f>B9-B10</x:f>
        <x:v>100000</x:v>
      </x:c>
      <x:c r="C11" s="128" t="n">
        <x:f>C9-C10</x:f>
        <x:v>100000</x:v>
      </x:c>
      <x:c r="D11" s="48" t="str">
        <x:v>S/</x:v>
      </x:c>
      <x:c r="E11" s="48" t="str">
        <x:v>Balance general, documentos de capital/aportes, resultados acumulados y conciliación Activo - Pasivo.</x:v>
      </x:c>
      <x:c r="F11" s="48" t="str">
        <x:v>¿Qué parte del negocio pertenece económicamente a los socios?</x:v>
      </x:c>
      <x:c r="G11" s="48" t="str">
        <x:v>Pérdidas acumuladas, revaluaciones y calidad del capital.</x:v>
      </x:c>
      <x:c r="H11" s="48" t="str">
        <x:v>Cálculo</x:v>
      </x:c>
      <x:c r="J11" s="48" t="str">
        <x:v>Endeudamiento total</x:v>
      </x:c>
      <x:c r="K11" s="48" t="str">
        <x:v>Pasivo total / Activo total</x:v>
      </x:c>
      <x:c r="L11" s="146" t="n">
        <x:f>IFERROR(C10/C9,0)</x:f>
        <x:v>0.5</x:v>
      </x:c>
      <x:c r="M11" s="48" t="str">
        <x:v>Proporción del activo financiada por terceros.</x:v>
      </x:c>
      <x:c r="N11" s="48" t="str">
        <x:v>¿La deuda financia crecimiento sostenible o presión financiera?</x:v>
      </x:c>
      <x:c r="O11" s="48" t="str">
        <x:v>Plazos, costo de deuda, sector y estabilidad del flujo.</x:v>
      </x:c>
      <x:c r="P11" s="23" t="str">
        <x:f>"Interpretar según sector, plazos y flujo"</x:f>
        <x:v>Interpretar según sector, plazos y flujo</x:v>
      </x:c>
    </x:row>
    <x:row r="12">
      <x:c r="A12" s="48" t="str">
        <x:v>Activo corriente</x:v>
      </x:c>
      <x:c r="B12" s="122" t="n">
        <x:v>120000</x:v>
      </x:c>
      <x:c r="C12" s="128" t="n">
        <x:f>B12</x:f>
        <x:v>120000</x:v>
      </x:c>
      <x:c r="D12" s="48" t="str">
        <x:v>S/</x:v>
      </x:c>
      <x:c r="E12" s="48" t="str">
        <x:v>Caja y bancos, cuentas por cobrar sustentadas, inventario físico/kardex y otros activos corrientes verificables.</x:v>
      </x:c>
      <x:c r="F12" s="48" t="str">
        <x:v>¿Qué parte es caja, cuentas por cobrar o inventarios?</x:v>
      </x:c>
      <x:c r="G12" s="48" t="str">
        <x:v>La velocidad real de conversión a efectivo.</x:v>
      </x:c>
      <x:c r="H12" s="48" t="str">
        <x:v>Supuesto</x:v>
      </x:c>
      <x:c r="J12" s="48" t="str">
        <x:v>Cobertura de intereses</x:v>
      </x:c>
      <x:c r="K12" s="48" t="str">
        <x:v>BAII / Gastos financieros</x:v>
      </x:c>
      <x:c r="L12" s="146" t="n">
        <x:f>IFERROR(C18/C19,0)</x:f>
        <x:v>3</x:v>
      </x:c>
      <x:c r="M12" s="48" t="str">
        <x:v>Veces que la utilidad operativa cubre los gastos financieros.</x:v>
      </x:c>
      <x:c r="N12" s="48" t="str">
        <x:v>¿Qué pasaría si bajan ventas o suben las tasas?</x:v>
      </x:c>
      <x:c r="O12" s="48" t="str">
        <x:v>Volatilidad de BAII, estructura de deuda y tasas.</x:v>
      </x:c>
      <x:c r="P12" s="23" t="str">
        <x:f>IF(L12&gt;=1,"La operación cubre intereses en el escenario","La operación no cubre intereses en el escenario")</x:f>
        <x:v>La operación cubre intereses en el escenario</x:v>
      </x:c>
    </x:row>
    <x:row r="13">
      <x:c r="A13" s="48" t="str">
        <x:v>Pasivo corriente</x:v>
      </x:c>
      <x:c r="B13" s="122" t="n">
        <x:v>60000</x:v>
      </x:c>
      <x:c r="C13" s="128" t="n">
        <x:f>B13</x:f>
        <x:v>60000</x:v>
      </x:c>
      <x:c r="D13" s="48" t="str">
        <x:v>S/</x:v>
      </x:c>
      <x:c r="E13" s="48" t="str">
        <x:v>Cronogramas de corto plazo, facturas por pagar, tributos declarados y otras obligaciones con vencimiento próximo.</x:v>
      </x:c>
      <x:c r="F13" s="48" t="str">
        <x:v>¿Qué obligaciones vencen realmente en el corto plazo?</x:v>
      </x:c>
      <x:c r="G13" s="48" t="str">
        <x:v>Calendario de pagos y concentración de vencimientos.</x:v>
      </x:c>
      <x:c r="H13" s="48" t="str">
        <x:v>Supuesto</x:v>
      </x:c>
      <x:c r="J13" s="48" t="str">
        <x:v>Margen neto</x:v>
      </x:c>
      <x:c r="K13" s="48" t="str">
        <x:v>Utilidad neta / Ingresos</x:v>
      </x:c>
      <x:c r="L13" s="147" t="n">
        <x:f>IFERROR(C17/C15,0)</x:f>
        <x:v>0.4</x:v>
      </x:c>
      <x:c r="M13" s="48" t="str">
        <x:v>Porcentaje de ventas que termina como utilidad neta.</x:v>
      </x:c>
      <x:c r="N13" s="48" t="str">
        <x:v>¿La utilidad se convierte en caja o queda atrapada en el ciclo operativo?</x:v>
      </x:c>
      <x:c r="O13" s="48" t="str">
        <x:v>Cuentas por cobrar, inventarios, ingresos no recurrentes.</x:v>
      </x:c>
      <x:c r="P13" s="23" t="str">
        <x:f>"Interpretar con liquidez y calidad de utilidades"</x:f>
        <x:v>Interpretar con liquidez y calidad de utilidades</x:v>
      </x:c>
    </x:row>
    <x:row r="14">
      <x:c r="A14" s="48" t="str">
        <x:v>Inventarios</x:v>
      </x:c>
      <x:c r="B14" s="122" t="n">
        <x:v>30000</x:v>
      </x:c>
      <x:c r="C14" s="128" t="n">
        <x:f>IF($B$4="Inventarios +30%",B14*1.3,B14)</x:f>
        <x:v>30000</x:v>
      </x:c>
      <x:c r="D14" s="48" t="str">
        <x:v>S/</x:v>
      </x:c>
      <x:c r="E14" s="48" t="str">
        <x:v>Kardex, inventario físico, facturas de compra y valorización del stock.</x:v>
      </x:c>
      <x:c r="F14" s="48" t="str">
        <x:v>¿El inventario rota rápido o puede quedar inmovilizado?</x:v>
      </x:c>
      <x:c r="G14" s="48" t="str">
        <x:v>Perecibilidad, obsolescencia y estacionalidad.</x:v>
      </x:c>
      <x:c r="H14" s="48" t="str">
        <x:v>Supuesto</x:v>
      </x:c>
      <x:c r="J14" s="48" t="str">
        <x:v>ROA (Rentabilidad sobre los Activos)</x:v>
      </x:c>
      <x:c r="K14" s="48" t="str">
        <x:v>Utilidad neta / Activo total</x:v>
      </x:c>
      <x:c r="L14" s="147" t="n">
        <x:f>IFERROR(C17/C9,0)</x:f>
        <x:v>1</x:v>
      </x:c>
      <x:c r="M14" s="48" t="str">
        <x:v>Beneficio generado respecto de los activos utilizados.</x:v>
      </x:c>
      <x:c r="N14" s="48" t="str">
        <x:v>¿El nivel de activos es comparable con empresas del mismo sector?</x:v>
      </x:c>
      <x:c r="O14" s="48" t="str">
        <x:v>Intensidad de capital, antigüedad de activos y sector.</x:v>
      </x:c>
      <x:c r="P14" s="23" t="str">
        <x:f>"Comparar con sector y estructura de activos"</x:f>
        <x:v>Comparar con sector y estructura de activos</x:v>
      </x:c>
    </x:row>
    <x:row r="15">
      <x:c r="A15" s="48" t="str">
        <x:v>Ingresos</x:v>
      </x:c>
      <x:c r="B15" s="122" t="n">
        <x:v>500000</x:v>
      </x:c>
      <x:c r="C15" s="128" t="n">
        <x:f>IF($B$4="Ventas -20%",B15*0.8,B15)</x:f>
        <x:v>500000</x:v>
      </x:c>
      <x:c r="D15" s="48" t="str">
        <x:v>S/</x:v>
      </x:c>
      <x:c r="E15" s="48" t="str">
        <x:v>Facturas/boletas, registro de ventas, declaraciones tributarias y depósitos/abonos bancarios conciliables.</x:v>
      </x:c>
      <x:c r="F15" s="48" t="str">
        <x:v>¿Las ventas son recurrentes y cobrables?</x:v>
      </x:c>
      <x:c r="G15" s="48" t="str">
        <x:v>Estacionalidad, concentración de clientes y devoluciones.</x:v>
      </x:c>
      <x:c r="H15" s="48" t="str">
        <x:v>Fuente</x:v>
      </x:c>
      <x:c r="J15" s="48" t="str">
        <x:v>ROE (Rentabilidad sobre el Patrimonio)</x:v>
      </x:c>
      <x:c r="K15" s="48" t="str">
        <x:v>Utilidad neta / Patrimonio</x:v>
      </x:c>
      <x:c r="L15" s="147" t="n">
        <x:f>IFERROR(C17/C11,0)</x:f>
        <x:v>2</x:v>
      </x:c>
      <x:c r="M15" s="48" t="str">
        <x:v>Beneficio generado respecto del patrimonio de los propietarios.</x:v>
      </x:c>
      <x:c r="N15" s="48" t="str">
        <x:v>¿Un ROE alto proviene de buen desempeño o de poco patrimonio / mucho apalancamiento?</x:v>
      </x:c>
      <x:c r="O15" s="48" t="str">
        <x:v>Nivel de deuda, base patrimonial y resultados extraordinarios.</x:v>
      </x:c>
      <x:c r="P15" s="23" t="str">
        <x:f>"Revisar efecto del apalancamiento"</x:f>
        <x:v>Revisar efecto del apalancamiento</x:v>
      </x:c>
    </x:row>
    <x:row r="16">
      <x:c r="A16" s="48" t="str">
        <x:v>Costos</x:v>
      </x:c>
      <x:c r="B16" s="122" t="n">
        <x:v>300000</x:v>
      </x:c>
      <x:c r="C16" s="128" t="n">
        <x:f>B16</x:f>
        <x:v>300000</x:v>
      </x:c>
      <x:c r="D16" s="48" t="str">
        <x:v>S/</x:v>
      </x:c>
      <x:c r="E16" s="48" t="str">
        <x:v>Facturas de compra, registro de compras, kardex y sustentos de costos directamente vinculados a las ventas.</x:v>
      </x:c>
      <x:c r="F16" s="48" t="str">
        <x:v>¿Los costos son estables o sensibles a precios?</x:v>
      </x:c>
      <x:c r="G16" s="48" t="str">
        <x:v>Inflación de insumos, tipo de cambio y escala.</x:v>
      </x:c>
      <x:c r="H16" s="48" t="str">
        <x:v>Fuente</x:v>
      </x:c>
      <x:c r="J16" s="48" t="str">
        <x:v>Rotación de inventario</x:v>
      </x:c>
      <x:c r="K16" s="48" t="str">
        <x:v>Costos / Inventario promedio</x:v>
      </x:c>
      <x:c r="L16" s="146" t="n">
        <x:f>IFERROR(C16/C24,0)</x:f>
        <x:v>10</x:v>
      </x:c>
      <x:c r="M16" s="48" t="str">
        <x:v>Veces que el inventario se renueva durante el periodo.</x:v>
      </x:c>
      <x:c r="N16" s="48" t="str">
        <x:v>¿Una rotación alta es normal para este tipo de negocio?</x:v>
      </x:c>
      <x:c r="O16" s="48" t="str">
        <x:v>Perecibilidad, estacionalidad y modelo comercial.</x:v>
      </x:c>
      <x:c r="P16" s="23" t="str">
        <x:f>"Comparar con naturaleza del negocio"</x:f>
        <x:v>Comparar con naturaleza del negocio</x:v>
      </x:c>
    </x:row>
    <x:row r="17">
      <x:c r="A17" s="48" t="str">
        <x:v>Utilidad neta</x:v>
      </x:c>
      <x:c r="B17" s="126" t="n">
        <x:f>B15-B16</x:f>
        <x:v>200000</x:v>
      </x:c>
      <x:c r="C17" s="128" t="n">
        <x:f>C15-C16</x:f>
        <x:v>200000</x:v>
      </x:c>
      <x:c r="D17" s="48" t="str">
        <x:v>S/</x:v>
      </x:c>
      <x:c r="E17" s="48" t="str">
        <x:v>Estado de resultados conciliado con registros contables, comprobantes y declaraciones correspondientes.</x:v>
      </x:c>
      <x:c r="F17" s="48" t="str">
        <x:v>¿La utilidad se convierte realmente en caja?</x:v>
      </x:c>
      <x:c r="G17" s="48" t="str">
        <x:v>Cuentas por cobrar, inventarios y partidas no monetarias.</x:v>
      </x:c>
      <x:c r="H17" s="48" t="str">
        <x:v>Cálculo</x:v>
      </x:c>
      <x:c r="J17" s="48" t="str">
        <x:v>Días de cobro</x:v>
      </x:c>
      <x:c r="K17" s="48" t="str">
        <x:v>Cuentas por cobrar promedio / Ingresos × días</x:v>
      </x:c>
      <x:c r="L17" s="148" t="n">
        <x:f>IFERROR(C23/C15*C26,0)</x:f>
        <x:v>57.6</x:v>
      </x:c>
      <x:c r="M17" s="48" t="str">
        <x:v>Días aproximados que tarda la empresa en cobrar.</x:v>
      </x:c>
      <x:c r="N17" s="48" t="str">
        <x:v>¿Los plazos de cobro son coherentes con los pagos y con el sector?</x:v>
      </x:c>
      <x:c r="O17" s="48" t="str">
        <x:v>Calidad de clientes, concentración y política comercial.</x:v>
      </x:c>
      <x:c r="P17" s="23" t="str">
        <x:f>"Menor no siempre es mejor: revisar política comercial"</x:f>
        <x:v>Menor no siempre es mejor: revisar política comercial</x:v>
      </x:c>
    </x:row>
    <x:row r="18">
      <x:c r="A18" s="48" t="str">
        <x:v>BAII (Beneficio antes de intereses e impuestos)</x:v>
      </x:c>
      <x:c r="B18" s="122" t="n">
        <x:v>60000</x:v>
      </x:c>
      <x:c r="C18" s="128" t="n">
        <x:f>IF($B$4="Ventas -20%",B18*0.8,B18)</x:f>
        <x:v>60000</x:v>
      </x:c>
      <x:c r="D18" s="48" t="str">
        <x:v>S/</x:v>
      </x:c>
      <x:c r="E18" s="48" t="str">
        <x:v>Estado de resultados/libros contables que permitan identificar el beneficio antes de intereses e impuestos.</x:v>
      </x:c>
      <x:c r="F18" s="48" t="str">
        <x:v>¿La operación genera suficiente utilidad antes de intereses?</x:v>
      </x:c>
      <x:c r="G18" s="48" t="str">
        <x:v>Caída de ventas o aumento de costos.</x:v>
      </x:c>
      <x:c r="H18" s="48" t="str">
        <x:v>Supuesto</x:v>
      </x:c>
      <x:c r="J18" s="48" t="str">
        <x:v>Días de pago</x:v>
      </x:c>
      <x:c r="K18" s="48" t="str">
        <x:v>Cuentas por pagar promedio / Costos × días</x:v>
      </x:c>
      <x:c r="L18" s="148" t="n">
        <x:f>IFERROR(C25/C16*C26,0)</x:f>
        <x:v>60</x:v>
      </x:c>
      <x:c r="M18" s="48" t="str">
        <x:v>Días aproximados que tarda la empresa en pagar a proveedores.</x:v>
      </x:c>
      <x:c r="N18" s="48" t="str">
        <x:v>¿El plazo da oxígeno financiero o refleja tensión con proveedores?</x:v>
      </x:c>
      <x:c r="O18" s="48" t="str">
        <x:v>Condiciones de compra, negociación y morosidad.</x:v>
      </x:c>
      <x:c r="P18" s="23" t="str">
        <x:f>"Mayor no siempre es mejor: revisar sostenibilidad"</x:f>
        <x:v>Mayor no siempre es mejor: revisar sostenibilidad</x:v>
      </x:c>
    </x:row>
    <x:row r="19">
      <x:c r="A19" s="48" t="str">
        <x:v>Gastos financieros</x:v>
      </x:c>
      <x:c r="B19" s="122" t="n">
        <x:v>20000</x:v>
      </x:c>
      <x:c r="C19" s="128" t="n">
        <x:f>IF($B$4="Gastos financieros +50%",B19*1.5,B19)</x:f>
        <x:v>20000</x:v>
      </x:c>
      <x:c r="D19" s="48" t="str">
        <x:v>S/</x:v>
      </x:c>
      <x:c r="E19" s="48" t="str">
        <x:v>Cronogramas de préstamos, estados de cuenta, cargos de intereses y contratos financieros.</x:v>
      </x:c>
      <x:c r="F19" s="48" t="str">
        <x:v>¿El costo de la deuda es sostenible?</x:v>
      </x:c>
      <x:c r="G19" s="48" t="str">
        <x:v>Tasas, refinanciaciones y nueva deuda.</x:v>
      </x:c>
      <x:c r="H19" s="48" t="str">
        <x:v>Supuesto</x:v>
      </x:c>
    </x:row>
    <x:row r="20">
      <x:c r="A20" s="48" t="str">
        <x:v>Flujo operativo</x:v>
      </x:c>
      <x:c r="B20" s="122" t="n">
        <x:v>50000</x:v>
      </x:c>
      <x:c r="C20" s="128" t="n">
        <x:f>IF($B$4="Ventas -20%",B20*0.8,B20)</x:f>
        <x:v>50000</x:v>
      </x:c>
      <x:c r="D20" s="48" t="str">
        <x:v>S/</x:v>
      </x:c>
      <x:c r="E20" s="48" t="str">
        <x:v>Estados de cuenta bancarios, caja, cobranzas y pagos del giro conciliados con el flujo operativo.</x:v>
      </x:c>
      <x:c r="F20" s="48" t="str">
        <x:v>¿El giro del negocio genera efectivo?</x:v>
      </x:c>
      <x:c r="G20" s="48" t="str">
        <x:v>Cobros, pagos y capital de trabajo.</x:v>
      </x:c>
      <x:c r="H20" s="48" t="str">
        <x:v>Fuente</x:v>
      </x:c>
    </x:row>
    <x:row r="21">
      <x:c r="A21" s="48" t="str">
        <x:v>Inversiones</x:v>
      </x:c>
      <x:c r="B21" s="122" t="n">
        <x:v>-20000</x:v>
      </x:c>
      <x:c r="C21" s="128" t="n">
        <x:f>B21</x:f>
        <x:v>-20000</x:v>
      </x:c>
      <x:c r="D21" s="48" t="str">
        <x:v>S/</x:v>
      </x:c>
      <x:c r="E21" s="48" t="str">
        <x:v>Facturas, órdenes de compra, contratos/proformas y registro de activos adquiridos o vendidos.</x:v>
      </x:c>
      <x:c r="F21" s="48" t="str">
        <x:v>¿La salida crea capacidad futura o presiona caja?</x:v>
      </x:c>
      <x:c r="G21" s="48" t="str">
        <x:v>Monto, plazo y retorno esperado del activo.</x:v>
      </x:c>
      <x:c r="H21" s="48" t="str">
        <x:v>Fuente</x:v>
      </x:c>
      <x:c r="J21" s="29" t="str">
        <x:v>DIAGNÓSTICO INTEGRADO · LEER ANTES DE DECIDIR</x:v>
      </x:c>
      <x:c r="K21" s="29"/>
      <x:c r="L21" s="29"/>
      <x:c r="M21" s="29"/>
      <x:c r="N21" s="29"/>
      <x:c r="O21" s="29"/>
      <x:c r="P21" s="29"/>
    </x:row>
    <x:row r="22">
      <x:c r="A22" s="48" t="str">
        <x:v>Financiamiento</x:v>
      </x:c>
      <x:c r="B22" s="122" t="n">
        <x:v>-30000</x:v>
      </x:c>
      <x:c r="C22" s="128" t="n">
        <x:f>B22</x:f>
        <x:v>-30000</x:v>
      </x:c>
      <x:c r="D22" s="48" t="str">
        <x:v>S/</x:v>
      </x:c>
      <x:c r="E22" s="48" t="str">
        <x:v>Contratos de financiamiento, desembolsos recibidos, cronogramas de amortización y vouchers de pago.</x:v>
      </x:c>
      <x:c r="F22" s="48" t="str">
        <x:v>¿La salida reduce deuda o capital?</x:v>
      </x:c>
      <x:c r="G22" s="48" t="str">
        <x:v>Estructura de amortización y nuevas fuentes.</x:v>
      </x:c>
      <x:c r="H22" s="48" t="str">
        <x:v>Fuente</x:v>
      </x:c>
      <x:c r="J22" s="43" t="str">
        <x:v>Liquidez</x:v>
      </x:c>
      <x:c r="K22" s="152" t="str">
        <x:f>IF(L9&gt;1,"Cobertura corriente mayor que 1; revisar calidad del activo corriente","Cobertura corriente menor o igual a 1; exige atención")</x:f>
        <x:v>Cobertura corriente mayor que 1; revisar calidad del activo corriente</x:v>
      </x:c>
    </x:row>
    <x:row r="23">
      <x:c r="A23" s="48" t="str">
        <x:v>Cuentas por cobrar promedio</x:v>
      </x:c>
      <x:c r="B23" s="122" t="n">
        <x:v>80000</x:v>
      </x:c>
      <x:c r="C23" s="128" t="n">
        <x:f>B23</x:f>
        <x:v>80000</x:v>
      </x:c>
      <x:c r="D23" s="48" t="str">
        <x:v>S/</x:v>
      </x:c>
      <x:c r="E23" s="48" t="str">
        <x:v>Reporte de antigüedad de saldos, facturas pendientes, contratos y evidencia de cobranza.</x:v>
      </x:c>
      <x:c r="F23" s="48" t="str">
        <x:v>¿Cuánto tardan los clientes en pagar?</x:v>
      </x:c>
      <x:c r="G23" s="48" t="str">
        <x:v>Calidad del deudor y condiciones de crédito.</x:v>
      </x:c>
      <x:c r="H23" s="48" t="str">
        <x:v>Supuesto</x:v>
      </x:c>
      <x:c r="J23" s="43" t="str">
        <x:v>Deuda</x:v>
      </x:c>
      <x:c r="K23" s="152" t="str">
        <x:f>"El "&amp;TEXT(L11,"0.0%")&amp;" del activo está financiado por terceros; la lectura depende del flujo y los vencimientos."</x:f>
        <x:v>El 50.0% del activo está financiado por terceros; la lectura depende del flujo y los vencimientos.</x:v>
      </x:c>
    </x:row>
    <x:row r="24">
      <x:c r="A24" s="48" t="str">
        <x:v>Inventario promedio</x:v>
      </x:c>
      <x:c r="B24" s="122" t="n">
        <x:v>30000</x:v>
      </x:c>
      <x:c r="C24" s="128" t="n">
        <x:f>B24</x:f>
        <x:v>30000</x:v>
      </x:c>
      <x:c r="D24" s="48" t="str">
        <x:v>S/</x:v>
      </x:c>
      <x:c r="E24" s="48" t="str">
        <x:v>Kardex, inventarios físicos periódicos y valorizaciones de existencias.</x:v>
      </x:c>
      <x:c r="F24" s="48" t="str">
        <x:v>¿Cuántas veces se renueva el stock?</x:v>
      </x:c>
      <x:c r="G24" s="48" t="str">
        <x:v>Tipo de producto y estacionalidad.</x:v>
      </x:c>
      <x:c r="H24" s="48" t="str">
        <x:v>Supuesto</x:v>
      </x:c>
      <x:c r="J24" s="43" t="str">
        <x:v>Rentabilidad</x:v>
      </x:c>
      <x:c r="K24" s="152" t="str">
        <x:f>"Margen neto "&amp;TEXT(L13,"0.0%")&amp;"; ROA "&amp;TEXT(L14,"0.0%")&amp;"; ROE "&amp;TEXT(L15,"0.0%")&amp;". No usar como sentencia sin contexto."</x:f>
        <x:v>Margen neto 40.0%; ROA 100.0%; ROE 200.0%. No usar como sentencia sin contexto.</x:v>
      </x:c>
    </x:row>
    <x:row r="25">
      <x:c r="A25" s="48" t="str">
        <x:v>Cuentas por pagar promedio</x:v>
      </x:c>
      <x:c r="B25" s="122" t="n">
        <x:v>50000</x:v>
      </x:c>
      <x:c r="C25" s="128" t="n">
        <x:f>B25</x:f>
        <x:v>50000</x:v>
      </x:c>
      <x:c r="D25" s="48" t="str">
        <x:v>S/</x:v>
      </x:c>
      <x:c r="E25" s="48" t="str">
        <x:v>Reporte de cuentas por pagar, facturas de proveedores, contratos y cronogramas de pago.</x:v>
      </x:c>
      <x:c r="F25" s="48" t="str">
        <x:v>¿Cuánto tiempo financian los proveedores?</x:v>
      </x:c>
      <x:c r="G25" s="48" t="str">
        <x:v>Condiciones comerciales y presión de caja.</x:v>
      </x:c>
      <x:c r="H25" s="48" t="str">
        <x:v>Supuesto</x:v>
      </x:c>
      <x:c r="J25" s="43" t="str">
        <x:v>Eficiencia</x:v>
      </x:c>
      <x:c r="K25" s="152" t="str">
        <x:f>"Rotación de inventario "&amp;TEXT(L16,"0.00x")&amp;"; cobro "&amp;TEXT(L17,"0.0")&amp;" días; pago "&amp;TEXT(L18,"0.0")&amp;" días."</x:f>
        <x:v>Rotación de inventario 10.00x; cobro 57.6 días; pago 60.0 días.</x:v>
      </x:c>
    </x:row>
    <x:row r="26">
      <x:c r="A26" s="48" t="str">
        <x:v>Días del año para el ejercicio</x:v>
      </x:c>
      <x:c r="B26" s="124" t="n">
        <x:v>360</x:v>
      </x:c>
      <x:c r="C26" s="129" t="n">
        <x:f>B26</x:f>
        <x:v>360</x:v>
      </x:c>
      <x:c r="D26" s="48" t="str">
        <x:v>días</x:v>
      </x:c>
      <x:c r="E26" s="48" t="str">
        <x:v>Parámetro metodológico definido para el ejercicio y política interna de cálculo (360 días).</x:v>
      </x:c>
      <x:c r="F26" s="48" t="str">
        <x:v>¿Qué base temporal usa el análisis?</x:v>
      </x:c>
      <x:c r="G26" s="48" t="str">
        <x:v>La política de cálculo de la entidad.</x:v>
      </x:c>
      <x:c r="H26" s="48" t="str">
        <x:v>Supuesto</x:v>
      </x:c>
      <x:c r="J26" s="43" t="str">
        <x:v>Conclusión pedagógica</x:v>
      </x:c>
      <x:c r="K26" s="152" t="str">
        <x:f>"El escenario "&amp;$B$4&amp;" cambia señales, pero la decisión debe integrar ratios, caja, calidad de datos y riesgo."</x:f>
        <x:v>El escenario Base cambia señales, pero la decisión debe integrar ratios, caja, calidad de datos y riesgo.</x:v>
      </x:c>
    </x:row>
    <x:row r="29">
      <x:c r="A29" s="155" t="str">
        <x:v>Nota metodológica: los valores del caso base provienen del material de la Sesión 4 y del artículo. Las cifras añadidas para cuentas por cobrar, cuentas por pagar e inventario promedio son supuestos didácticos para practicar eficiencia. Los escenarios de estrés son académicos y no representan políticas de una entidad financiera.</x:v>
      </x:c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5"/>
      <x:c r="M29" s="155"/>
      <x:c r="N29" s="155"/>
      <x:c r="O29" s="155"/>
      <x:c r="P29" s="155"/>
    </x:row>
    <x:row r="30">
      <x:c r="A30" s="155"/>
      <x:c r="B30" s="155"/>
      <x:c r="C30" s="155"/>
      <x:c r="D30" s="155"/>
      <x:c r="E30" s="155"/>
      <x:c r="F30" s="155"/>
      <x:c r="G30" s="155"/>
      <x:c r="H30" s="155"/>
      <x:c r="I30" s="155"/>
      <x:c r="J30" s="155"/>
      <x:c r="K30" s="155"/>
      <x:c r="L30" s="155"/>
      <x:c r="M30" s="155"/>
      <x:c r="N30" s="155"/>
      <x:c r="O30" s="155"/>
      <x:c r="P30" s="155"/>
    </x:row>
    <x:row r="31">
      <x:c r="A31" s="155"/>
      <x:c r="B31" s="155"/>
      <x:c r="C31" s="155"/>
      <x:c r="D31" s="155"/>
      <x:c r="E31" s="155"/>
      <x:c r="F31" s="155"/>
      <x:c r="G31" s="155"/>
      <x:c r="H31" s="155"/>
      <x:c r="I31" s="155"/>
      <x:c r="J31" s="155"/>
      <x:c r="K31" s="155"/>
      <x:c r="L31" s="155"/>
      <x:c r="M31" s="155"/>
      <x:c r="N31" s="155"/>
      <x:c r="O31" s="155"/>
      <x:c r="P31" s="155"/>
    </x:row>
  </x:sheetData>
  <x:mergeCells>
    <x:mergeCell ref="A1:P2"/>
    <x:mergeCell ref="D4:H5"/>
    <x:mergeCell ref="J4:P5"/>
    <x:mergeCell ref="J21:P21"/>
    <x:mergeCell ref="A29:P31"/>
  </x:mergeCells>
  <x:conditionalFormatting sqref="L9:L9">
    <x:cfRule type="expression" dxfId="0" priority="1">
      <x:formula>L9&gt;1</x:formula>
    </x:cfRule>
    <x:cfRule type="expression" dxfId="1" priority="2">
      <x:formula>L9&lt;=1</x:formula>
    </x:cfRule>
  </x:conditionalFormatting>
  <x:conditionalFormatting sqref="L12:L12">
    <x:cfRule type="expression" dxfId="2" priority="3">
      <x:formula>L12&gt;=1</x:formula>
    </x:cfRule>
    <x:cfRule type="expression" dxfId="3" priority="4">
      <x:formula>L12&lt;1</x:formula>
    </x:cfRule>
  </x:conditionalFormatting>
  <x:dataValidations count="1">
    <x:dataValidation type="list" sqref="B4">
      <x:formula1>"Base,Ventas -20%,Inventarios +30%,Gastos financieros +50%"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14" hidden="0" customWidth="1"/>
    <x:col min="5" max="5" width="16" hidden="0" customWidth="1"/>
    <x:col min="6" max="6" width="30" hidden="0" customWidth="1"/>
    <x:col min="7" max="7" width="28" hidden="0" customWidth="1"/>
    <x:col min="8" max="8" width="3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>
      <x:c r="A1" s="64" t="str">
        <x:v>LABORATORIO DE RIESGOS · DEL INHERENTE AL RESIDUAL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</x:row>
    <x:row r="2">
      <x:c r="A2" s="64"/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</x:row>
    <x:row r="4">
      <x:c r="A4" s="77" t="str">
        <x:v>El riesgo se prioriza combinando probabilidad e impacto. Los controles no reducen riesgo por existir en un manual: deben ejecutarse, tener responsable, oportunidad y evidencia.</x:v>
      </x:c>
      <x:c r="B4" s="77"/>
      <x:c r="C4" s="77"/>
      <x:c r="D4" s="77"/>
      <x:c r="E4" s="77"/>
      <x:c r="F4" s="77"/>
      <x:c r="H4" s="84" t="str">
        <x:v>La PPT muestra categorías de riesgo, pero no fija cortes numéricos universales. Esta hoja usa un gradiente visual didáctico; cada entidad debe definir sus umbrales.</x:v>
      </x:c>
      <x:c r="I4" s="84"/>
      <x:c r="J4" s="84"/>
      <x:c r="K4" s="84"/>
      <x:c r="L4" s="84"/>
    </x:row>
    <x:row r="5">
      <x:c r="A5" s="77"/>
      <x:c r="B5" s="77"/>
      <x:c r="C5" s="77"/>
      <x:c r="D5" s="77"/>
      <x:c r="E5" s="77"/>
      <x:c r="F5" s="77"/>
      <x:c r="H5" s="84"/>
      <x:c r="I5" s="84"/>
      <x:c r="J5" s="84"/>
      <x:c r="K5" s="84"/>
      <x:c r="L5" s="84"/>
    </x:row>
    <x:row r="7">
      <x:c r="A7" s="158" t="str">
        <x:v>Variable</x:v>
      </x:c>
      <x:c r="B7" s="158" t="str">
        <x:v>Entrada / resultado</x:v>
      </x:c>
      <x:c r="I7" s="170" t="str">
        <x:v>MAPA DE CALOR DIDÁCTICO · p × L</x:v>
      </x:c>
      <x:c r="J7" s="170"/>
      <x:c r="K7" s="170"/>
      <x:c r="L7" s="170"/>
      <x:c r="M7" s="170"/>
    </x:row>
    <x:row r="8">
      <x:c r="A8" t="str">
        <x:v>Amenaza</x:v>
      </x:c>
      <x:c r="B8" s="162" t="str">
        <x:v>Caída de ventas por pérdida de cliente importante</x:v>
      </x:c>
      <x:c r="I8" s="175" t="str">
        <x:v>L \ p</x:v>
      </x:c>
      <x:c r="J8" s="175" t="n">
        <x:v>1</x:v>
      </x:c>
      <x:c r="K8" s="175" t="n">
        <x:v>2</x:v>
      </x:c>
      <x:c r="L8" s="175" t="n">
        <x:v>3</x:v>
      </x:c>
      <x:c r="M8" s="175" t="n">
        <x:v>4</x:v>
      </x:c>
      <x:c r="N8" s="175" t="n">
        <x:v>5</x:v>
      </x:c>
    </x:row>
    <x:row r="9">
      <x:c r="A9" t="str">
        <x:v>Probabilidad inherente</x:v>
      </x:c>
      <x:c r="B9" s="166" t="n">
        <x:v>3</x:v>
      </x:c>
      <x:c r="I9" s="175" t="n">
        <x:v>5</x:v>
      </x:c>
      <x:c r="J9" s="178" t="n">
        <x:v>5</x:v>
      </x:c>
      <x:c r="K9" s="178" t="n">
        <x:v>10</x:v>
      </x:c>
      <x:c r="L9" s="178" t="n">
        <x:v>15</x:v>
      </x:c>
      <x:c r="M9" s="178" t="n">
        <x:v>20</x:v>
      </x:c>
      <x:c r="N9" s="178" t="n">
        <x:v>25</x:v>
      </x:c>
    </x:row>
    <x:row r="10">
      <x:c r="A10" t="str">
        <x:v>Impacto inherente</x:v>
      </x:c>
      <x:c r="B10" s="166" t="n">
        <x:v>4</x:v>
      </x:c>
      <x:c r="I10" s="175" t="n">
        <x:v>4</x:v>
      </x:c>
      <x:c r="J10" s="178" t="n">
        <x:v>4</x:v>
      </x:c>
      <x:c r="K10" s="178" t="n">
        <x:v>8</x:v>
      </x:c>
      <x:c r="L10" s="178" t="n">
        <x:v>12</x:v>
      </x:c>
      <x:c r="M10" s="178" t="n">
        <x:v>16</x:v>
      </x:c>
      <x:c r="N10" s="178" t="n">
        <x:v>20</x:v>
      </x:c>
    </x:row>
    <x:row r="11">
      <x:c r="A11" t="str">
        <x:v>Riesgo inherente (p × L)</x:v>
      </x:c>
      <x:c r="B11" s="163" t="n">
        <x:f>B9*B10</x:f>
        <x:v>12</x:v>
      </x:c>
      <x:c r="I11" s="175" t="n">
        <x:v>3</x:v>
      </x:c>
      <x:c r="J11" s="178" t="n">
        <x:v>3</x:v>
      </x:c>
      <x:c r="K11" s="178" t="n">
        <x:v>6</x:v>
      </x:c>
      <x:c r="L11" s="178" t="n">
        <x:v>9</x:v>
      </x:c>
      <x:c r="M11" s="178" t="n">
        <x:v>12</x:v>
      </x:c>
      <x:c r="N11" s="178" t="n">
        <x:v>15</x:v>
      </x:c>
    </x:row>
    <x:row r="12">
      <x:c r="A12" t="str">
        <x:v>Probabilidad residual</x:v>
      </x:c>
      <x:c r="B12" s="166" t="n">
        <x:v>2</x:v>
      </x:c>
      <x:c r="I12" s="175" t="n">
        <x:v>2</x:v>
      </x:c>
      <x:c r="J12" s="178" t="n">
        <x:v>2</x:v>
      </x:c>
      <x:c r="K12" s="178" t="n">
        <x:v>4</x:v>
      </x:c>
      <x:c r="L12" s="178" t="n">
        <x:v>6</x:v>
      </x:c>
      <x:c r="M12" s="178" t="n">
        <x:v>8</x:v>
      </x:c>
      <x:c r="N12" s="178" t="n">
        <x:v>10</x:v>
      </x:c>
    </x:row>
    <x:row r="13">
      <x:c r="A13" t="str">
        <x:v>Impacto residual</x:v>
      </x:c>
      <x:c r="B13" s="166" t="n">
        <x:v>3</x:v>
      </x:c>
      <x:c r="I13" s="175" t="n">
        <x:v>1</x:v>
      </x:c>
      <x:c r="J13" s="178" t="n">
        <x:v>1</x:v>
      </x:c>
      <x:c r="K13" s="178" t="n">
        <x:v>2</x:v>
      </x:c>
      <x:c r="L13" s="178" t="n">
        <x:v>3</x:v>
      </x:c>
      <x:c r="M13" s="178" t="n">
        <x:v>4</x:v>
      </x:c>
      <x:c r="N13" s="178" t="n">
        <x:v>5</x:v>
      </x:c>
    </x:row>
    <x:row r="14">
      <x:c r="A14" t="str">
        <x:v>Riesgo residual (p × L)</x:v>
      </x:c>
      <x:c r="B14" s="163" t="n">
        <x:f>B12*B13</x:f>
        <x:v>6</x:v>
      </x:c>
    </x:row>
    <x:row r="15">
      <x:c r="I15" s="180" t="str">
        <x:v>Interpretación: el número p × L ayuda a comparar exposiciones, pero la categoría Bajo / Moderado / Alto / Extremo depende de los cortes definidos por la política de la organización. No se debe inferir automáticamente una categoría universal.</x:v>
      </x:c>
      <x:c r="J15" s="180"/>
      <x:c r="K15" s="180"/>
      <x:c r="L15" s="180"/>
      <x:c r="M15" s="180"/>
      <x:c r="N15" s="180"/>
    </x:row>
    <x:row r="16">
      <x:c r="I16" s="180"/>
      <x:c r="J16" s="180"/>
      <x:c r="K16" s="180"/>
      <x:c r="L16" s="180"/>
      <x:c r="M16" s="180"/>
      <x:c r="N16" s="180"/>
    </x:row>
    <x:row r="17">
      <x:c r="A17" s="134" t="str">
        <x:v>Control mitigador</x:v>
      </x:c>
      <x:c r="B17" s="134" t="str">
        <x:v>Responsable</x:v>
      </x:c>
      <x:c r="C17" s="134" t="str">
        <x:v>Frecuencia</x:v>
      </x:c>
      <x:c r="D17" s="134" t="str">
        <x:v>¿Se ejecuta?</x:v>
      </x:c>
      <x:c r="E17" s="134" t="str">
        <x:v>¿Deja evidencia?</x:v>
      </x:c>
      <x:c r="F17" s="134" t="str">
        <x:v>Evidencia esperada</x:v>
      </x:c>
      <x:c r="G17" s="134" t="str">
        <x:v>Lectura</x:v>
      </x:c>
      <x:c r="I17" s="180"/>
      <x:c r="J17" s="180"/>
      <x:c r="K17" s="180"/>
      <x:c r="L17" s="180"/>
      <x:c r="M17" s="180"/>
      <x:c r="N17" s="180"/>
    </x:row>
    <x:row r="18">
      <x:c r="A18" s="48" t="str">
        <x:v>Seguimiento de ventas y concentración de clientes</x:v>
      </x:c>
      <x:c r="B18" s="48" t="str">
        <x:v>Jefe comercial</x:v>
      </x:c>
      <x:c r="C18" s="48" t="str">
        <x:v>Mensual</x:v>
      </x:c>
      <x:c r="D18" s="166" t="str">
        <x:v>Sí</x:v>
      </x:c>
      <x:c r="E18" s="166" t="str">
        <x:v>Sí</x:v>
      </x:c>
      <x:c r="F18" s="48" t="str">
        <x:v>Reporte de ventas y clientes</x:v>
      </x:c>
      <x:c r="G18" s="23" t="str">
        <x:f>IF(AND(D18="Sí",E18="Sí"),"Control verificable","No asumir efectividad")</x:f>
        <x:v>Control verificable</x:v>
      </x:c>
      <x:c r="I18" s="180"/>
      <x:c r="J18" s="180"/>
      <x:c r="K18" s="180"/>
      <x:c r="L18" s="180"/>
      <x:c r="M18" s="180"/>
      <x:c r="N18" s="180"/>
    </x:row>
    <x:row r="19">
      <x:c r="A19" s="48" t="str">
        <x:v>Monitoreo de flujo de caja</x:v>
      </x:c>
      <x:c r="B19" s="48" t="str">
        <x:v>Finanzas</x:v>
      </x:c>
      <x:c r="C19" s="48" t="str">
        <x:v>Mensual</x:v>
      </x:c>
      <x:c r="D19" s="166" t="str">
        <x:v>Sí</x:v>
      </x:c>
      <x:c r="E19" s="166" t="str">
        <x:v>Sí</x:v>
      </x:c>
      <x:c r="F19" s="48" t="str">
        <x:v>Flujo proyectado vs. real</x:v>
      </x:c>
      <x:c r="G19" s="23" t="str">
        <x:f>IF(AND(D19="Sí",E19="Sí"),"Control verificable","No asumir efectividad")</x:f>
        <x:v>Control verificable</x:v>
      </x:c>
      <x:c r="I19" s="180"/>
      <x:c r="J19" s="180"/>
      <x:c r="K19" s="180"/>
      <x:c r="L19" s="180"/>
      <x:c r="M19" s="180"/>
      <x:c r="N19" s="180"/>
    </x:row>
    <x:row r="20">
      <x:c r="A20" s="48" t="str">
        <x:v>Revisión de covenants / obligaciones</x:v>
      </x:c>
      <x:c r="B20" s="48" t="str">
        <x:v>Riesgos</x:v>
      </x:c>
      <x:c r="C20" s="48" t="str">
        <x:v>Trimestral</x:v>
      </x:c>
      <x:c r="D20" s="166" t="str">
        <x:v>Sí</x:v>
      </x:c>
      <x:c r="E20" s="166" t="str">
        <x:v>No</x:v>
      </x:c>
      <x:c r="F20" s="48" t="str">
        <x:v>Acta o reporte de cumplimiento</x:v>
      </x:c>
      <x:c r="G20" s="23" t="str">
        <x:f>IF(AND(D20="Sí",E20="Sí"),"Control verificable","No asumir efectividad")</x:f>
        <x:v>No asumir efectividad</x:v>
      </x:c>
    </x:row>
    <x:row r="23">
      <x:c r="A23" s="29" t="str">
        <x:v>LECTURA DEL CONTROL Y DEL RIESGO RESIDUAL</x:v>
      </x:c>
      <x:c r="B23" s="29"/>
      <x:c r="C23" s="29"/>
      <x:c r="D23" s="29"/>
      <x:c r="E23" s="29"/>
      <x:c r="F23" s="29"/>
      <x:c r="G23" s="29"/>
    </x:row>
    <x:row r="24">
      <x:c r="A24" s="43" t="str">
        <x:v>Riesgo inherente</x:v>
      </x:c>
      <x:c r="B24" s="152" t="n">
        <x:f>B11</x:f>
        <x:v>12</x:v>
      </x:c>
    </x:row>
    <x:row r="25">
      <x:c r="A25" s="43" t="str">
        <x:v>Controles verificables</x:v>
      </x:c>
      <x:c r="B25" s="152" t="n">
        <x:f>COUNTIF(G18:G20,"Control verificable")</x:f>
        <x:v>2</x:v>
      </x:c>
    </x:row>
    <x:row r="26">
      <x:c r="A26" s="43" t="str">
        <x:v>Controles sin evidencia</x:v>
      </x:c>
      <x:c r="B26" s="152" t="n">
        <x:f>COUNTIF(G18:G20,"No asumir efectividad")</x:f>
        <x:v>1</x:v>
      </x:c>
    </x:row>
    <x:row r="27">
      <x:c r="A27" s="43" t="str">
        <x:v>Riesgo residual declarado</x:v>
      </x:c>
      <x:c r="B27" s="152" t="n">
        <x:f>B14</x:f>
        <x:v>6</x:v>
      </x:c>
    </x:row>
    <x:row r="28">
      <x:c r="A28" s="43" t="str">
        <x:v>Conclusión</x:v>
      </x:c>
      <x:c r="B28" s="152" t="str">
        <x:f>IF(B26&gt;0,"Existen controles sin evidencia: no asumir que el riesgo residual está suficientemente mitigado.","Los controles listados son verificables; aun así, el riesgo residual debe monitorearse.")</x:f>
        <x:v>Existen controles sin evidencia: no asumir que el riesgo residual está suficientemente mitigado.</x:v>
      </x:c>
    </x:row>
  </x:sheetData>
  <x:mergeCells>
    <x:mergeCell ref="A1:L2"/>
    <x:mergeCell ref="A4:F5"/>
    <x:mergeCell ref="H4:L5"/>
    <x:mergeCell ref="I7:M7"/>
    <x:mergeCell ref="I15:N19"/>
    <x:mergeCell ref="A23:G23"/>
  </x:mergeCells>
  <x:conditionalFormatting sqref="J9:N13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dataValidations count="3">
    <x:dataValidation type="list" sqref="B9:B10">
      <x:formula1>"1,2,3,4,5"</x:formula1>
    </x:dataValidation>
    <x:dataValidation type="list" sqref="B12:B13">
      <x:formula1>"1,2,3,4,5"</x:formula1>
    </x:dataValidation>
    <x:dataValidation type="list" sqref="D18:E20">
      <x:formula1>"Sí,No"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38" hidden="0" customWidth="1"/>
    <x:col min="5" max="5" width="34" hidden="0" customWidth="1"/>
    <x:col min="6" max="6" width="26" hidden="0" customWidth="1"/>
  </x:cols>
  <x:sheetData>
    <x:row r="1">
      <x:c r="A1" s="186" t="str">
        <x:v>DETALLE DIDÁCTICO DE LOS ESTADOS FINANCIEROS</x:v>
      </x:c>
      <x:c r="B1" s="186"/>
      <x:c r="C1" s="186"/>
      <x:c r="D1" s="186"/>
      <x:c r="E1" s="186"/>
      <x:c r="F1" s="186"/>
    </x:row>
    <x:row r="2">
      <x:c r="A2" s="186"/>
      <x:c r="B2" s="186"/>
      <x:c r="C2" s="186"/>
      <x:c r="D2" s="186"/>
      <x:c r="E2" s="186"/>
      <x:c r="F2" s="186"/>
    </x:row>
    <x:row r="3">
      <x:c r="A3" s="189" t="str">
        <x:v>Esta vista desagrega las cifras del laboratorio para mostrar qué puede existir detrás de un total. La composición es simulada para fines académicos y se ajusta proporcionalmente cuando cambian los totales del caso.</x:v>
      </x:c>
      <x:c r="B3" s="189"/>
      <x:c r="C3" s="189"/>
      <x:c r="D3" s="189"/>
      <x:c r="E3" s="189"/>
      <x:c r="F3" s="189"/>
    </x:row>
    <x:row r="4">
      <x:c r="A4" s="189"/>
      <x:c r="B4" s="189"/>
      <x:c r="C4" s="189"/>
      <x:c r="D4" s="189"/>
      <x:c r="E4" s="189"/>
      <x:c r="F4" s="189"/>
    </x:row>
    <x:row r="6">
      <x:c r="A6" s="193" t="str">
        <x:v>Estado / grupo</x:v>
      </x:c>
      <x:c r="B6" s="193" t="str">
        <x:v>Cuenta simulada</x:v>
      </x:c>
      <x:c r="C6" s="193" t="str">
        <x:v>Monto</x:v>
      </x:c>
      <x:c r="D6" s="193" t="str">
        <x:v>Evidencia simulada</x:v>
      </x:c>
      <x:c r="E6" s="193" t="str">
        <x:v>Pregunta contextual</x:v>
      </x:c>
      <x:c r="F6" s="193" t="str">
        <x:v>Observación</x:v>
      </x:c>
    </x:row>
    <x:row r="7">
      <x:c r="A7" s="48" t="str">
        <x:v>BALANCE · ACTIVO CORRIENTE</x:v>
      </x:c>
      <x:c r="B7" s="48" t="str">
        <x:v>Caja y bancos</x:v>
      </x:c>
      <x:c r="C7" s="196" t="n">
        <x:f>Laboratorio!B12*10%</x:f>
        <x:v>12000</x:v>
      </x:c>
      <x:c r="D7" s="48" t="str">
        <x:v>Arqueo de caja y estados de cuenta bancarios.</x:v>
      </x:c>
      <x:c r="E7" s="48" t="str">
        <x:v>¿El saldo está disponible o comprometido?</x:v>
      </x:c>
      <x:c r="F7" s="48" t="str">
        <x:v>Liquidez inmediata.</x:v>
      </x:c>
    </x:row>
    <x:row r="8">
      <x:c r="A8" s="48" t="str"/>
      <x:c r="B8" s="48" t="str">
        <x:v>Cuentas por cobrar comerciales</x:v>
      </x:c>
      <x:c r="C8" s="196" t="n">
        <x:f>Laboratorio!B12*65%</x:f>
        <x:v>78000</x:v>
      </x:c>
      <x:c r="D8" s="48" t="str">
        <x:v>Facturas, contratos y antigüedad de saldos.</x:v>
      </x:c>
      <x:c r="E8" s="48" t="str">
        <x:v>¿Los clientes pagan en los plazos previstos?</x:v>
      </x:c>
      <x:c r="F8" s="48" t="str">
        <x:v>Calidad de cobranza.</x:v>
      </x:c>
    </x:row>
    <x:row r="9">
      <x:c r="A9" s="48" t="str"/>
      <x:c r="B9" s="48" t="str">
        <x:v>Inventarios</x:v>
      </x:c>
      <x:c r="C9" s="196" t="n">
        <x:f>Laboratorio!B14</x:f>
        <x:v>30000</x:v>
      </x:c>
      <x:c r="D9" s="48" t="str">
        <x:v>Kardex, inventario físico y facturas de compra.</x:v>
      </x:c>
      <x:c r="E9" s="48" t="str">
        <x:v>¿El stock rota o puede quedar inmovilizado?</x:v>
      </x:c>
      <x:c r="F9" s="48" t="str">
        <x:v>Perecibilidad/obsolescencia.</x:v>
      </x:c>
    </x:row>
    <x:row r="10">
      <x:c r="A10" s="199" t="str"/>
      <x:c r="B10" s="199" t="str">
        <x:v>TOTAL ACTIVO CORRIENTE</x:v>
      </x:c>
      <x:c r="C10" s="200" t="n">
        <x:f>SUM(C7:C9)</x:f>
        <x:v>120000</x:v>
      </x:c>
      <x:c r="D10" s="199" t="str"/>
      <x:c r="E10" s="199" t="str"/>
      <x:c r="F10" s="199" t="str"/>
    </x:row>
    <x:row r="11">
      <x:c r="A11" s="48" t="str">
        <x:v>BALANCE · ACTIVO NO CORRIENTE</x:v>
      </x:c>
      <x:c r="B11" s="48" t="str">
        <x:v>Maquinaria y equipos</x:v>
      </x:c>
      <x:c r="C11" s="196" t="n">
        <x:f>(Laboratorio!B9-Laboratorio!B12)*68.75%</x:f>
        <x:v>55000</x:v>
      </x:c>
      <x:c r="D11" s="48" t="str">
        <x:v>Facturas, registros de activos y documentos de propiedad.</x:v>
      </x:c>
      <x:c r="E11" s="48" t="str">
        <x:v>¿Generan capacidad productiva?</x:v>
      </x:c>
      <x:c r="F11" s="48" t="str">
        <x:v>Activo de largo uso.</x:v>
      </x:c>
    </x:row>
    <x:row r="12">
      <x:c r="A12" s="48" t="str"/>
      <x:c r="B12" s="48" t="str">
        <x:v>Mobiliario</x:v>
      </x:c>
      <x:c r="C12" s="196" t="n">
        <x:f>(Laboratorio!B9-Laboratorio!B12)*12.5%</x:f>
        <x:v>10000</x:v>
      </x:c>
      <x:c r="D12" s="48" t="str">
        <x:v>Facturas y registro de activos.</x:v>
      </x:c>
      <x:c r="E12" s="48" t="str">
        <x:v>¿Su valor contable es razonable?</x:v>
      </x:c>
      <x:c r="F12" s="48" t="str">
        <x:v>Menor liquidez.</x:v>
      </x:c>
    </x:row>
    <x:row r="13">
      <x:c r="A13" s="48" t="str"/>
      <x:c r="B13" s="48" t="str">
        <x:v>Mejoras / otros activos fijos</x:v>
      </x:c>
      <x:c r="C13" s="196" t="n">
        <x:f>(Laboratorio!B9-Laboratorio!B12)*18.75%</x:f>
        <x:v>15000</x:v>
      </x:c>
      <x:c r="D13" s="48" t="str">
        <x:v>Contratos, facturas y valorizaciones.</x:v>
      </x:c>
      <x:c r="E13" s="48" t="str">
        <x:v>¿Son recuperables o específicos del negocio?</x:v>
      </x:c>
      <x:c r="F13" s="48" t="str">
        <x:v>Requieren contexto.</x:v>
      </x:c>
    </x:row>
    <x:row r="14">
      <x:c r="A14" s="199" t="str"/>
      <x:c r="B14" s="199" t="str">
        <x:v>TOTAL ACTIVO NO CORRIENTE</x:v>
      </x:c>
      <x:c r="C14" s="200" t="n">
        <x:f>SUM(C11:C13)</x:f>
        <x:v>80000</x:v>
      </x:c>
      <x:c r="D14" s="199" t="str"/>
      <x:c r="E14" s="199" t="str"/>
      <x:c r="F14" s="199" t="str"/>
    </x:row>
    <x:row r="15">
      <x:c r="A15" s="199" t="str"/>
      <x:c r="B15" s="199" t="str">
        <x:v>TOTAL ACTIVO</x:v>
      </x:c>
      <x:c r="C15" s="200" t="n">
        <x:f>C10+C14</x:f>
        <x:v>200000</x:v>
      </x:c>
      <x:c r="D15" s="199" t="str"/>
      <x:c r="E15" s="199" t="str"/>
      <x:c r="F15" s="199" t="str"/>
    </x:row>
    <x:row r="16">
      <x:c r="A16" s="48" t="str">
        <x:v>BALANCE · PASIVO CORRIENTE</x:v>
      </x:c>
      <x:c r="B16" s="48" t="str">
        <x:v>Proveedores</x:v>
      </x:c>
      <x:c r="C16" s="196" t="n">
        <x:f>Laboratorio!B13*50%</x:f>
        <x:v>30000</x:v>
      </x:c>
      <x:c r="D16" s="48" t="str">
        <x:v>Facturas pendientes y estado de cuentas por pagar.</x:v>
      </x:c>
      <x:c r="E16" s="48" t="str">
        <x:v>¿Los vencimientos son manejables?</x:v>
      </x:c>
      <x:c r="F16" s="48" t="str">
        <x:v>Presión de caja.</x:v>
      </x:c>
    </x:row>
    <x:row r="17">
      <x:c r="A17" s="48" t="str"/>
      <x:c r="B17" s="48" t="str">
        <x:v>Deuda financiera corto plazo</x:v>
      </x:c>
      <x:c r="C17" s="196" t="n">
        <x:f>Laboratorio!B13*33.333333%</x:f>
        <x:v>19999.9998</x:v>
      </x:c>
      <x:c r="D17" s="48" t="str">
        <x:v>Cronogramas y estados de cuenta.</x:v>
      </x:c>
      <x:c r="E17" s="48" t="str">
        <x:v>¿Cuánto vence próximamente?</x:v>
      </x:c>
      <x:c r="F17" s="48" t="str">
        <x:v>Costo y concentración.</x:v>
      </x:c>
    </x:row>
    <x:row r="18">
      <x:c r="A18" s="48" t="str"/>
      <x:c r="B18" s="48" t="str">
        <x:v>Tributos / otras obligaciones</x:v>
      </x:c>
      <x:c r="C18" s="196" t="n">
        <x:f>Laboratorio!B13-C16-C17</x:f>
        <x:v>10000.000199999999</x:v>
      </x:c>
      <x:c r="D18" s="48" t="str">
        <x:v>Declaraciones y documentos de pago.</x:v>
      </x:c>
      <x:c r="E18" s="48" t="str">
        <x:v>¿Existen atrasos o contingencias?</x:v>
      </x:c>
      <x:c r="F18" s="48" t="str">
        <x:v>Obligaciones próximas.</x:v>
      </x:c>
    </x:row>
    <x:row r="19">
      <x:c r="A19" s="199" t="str"/>
      <x:c r="B19" s="199" t="str">
        <x:v>TOTAL PASIVO CORRIENTE</x:v>
      </x:c>
      <x:c r="C19" s="200" t="n">
        <x:f>SUM(C16:C18)</x:f>
        <x:v>60000</x:v>
      </x:c>
      <x:c r="D19" s="199" t="str"/>
      <x:c r="E19" s="199" t="str"/>
      <x:c r="F19" s="199" t="str"/>
    </x:row>
    <x:row r="20">
      <x:c r="A20" s="48" t="str">
        <x:v>BALANCE · PASIVO NO CORRIENTE</x:v>
      </x:c>
      <x:c r="B20" s="48" t="str">
        <x:v>Deuda financiera largo plazo</x:v>
      </x:c>
      <x:c r="C20" s="196" t="n">
        <x:f>Laboratorio!B10-Laboratorio!B13</x:f>
        <x:v>40000</x:v>
      </x:c>
      <x:c r="D20" s="48" t="str">
        <x:v>Contratos y cronogramas de deuda.</x:v>
      </x:c>
      <x:c r="E20" s="48" t="str">
        <x:v>¿El flujo soporta las cuotas futuras?</x:v>
      </x:c>
      <x:c r="F20" s="48" t="str">
        <x:v>Horizonte de pago.</x:v>
      </x:c>
    </x:row>
    <x:row r="21">
      <x:c r="A21" s="199" t="str"/>
      <x:c r="B21" s="199" t="str">
        <x:v>TOTAL PASIVO</x:v>
      </x:c>
      <x:c r="C21" s="200" t="n">
        <x:f>C19+C20</x:f>
        <x:v>100000</x:v>
      </x:c>
      <x:c r="D21" s="199" t="str"/>
      <x:c r="E21" s="199" t="str"/>
      <x:c r="F21" s="199" t="str"/>
    </x:row>
    <x:row r="22">
      <x:c r="A22" s="48" t="str">
        <x:v>PATRIMONIO</x:v>
      </x:c>
      <x:c r="B22" s="48" t="str">
        <x:v>Capital / aportes</x:v>
      </x:c>
      <x:c r="C22" s="196" t="n">
        <x:f>Laboratorio!B11*70%</x:f>
        <x:v>70000</x:v>
      </x:c>
      <x:c r="D22" s="48" t="str">
        <x:v>Documentos societarios y aportes sustentados.</x:v>
      </x:c>
      <x:c r="E22" s="48" t="str">
        <x:v>¿El capital está efectivamente aportado?</x:v>
      </x:c>
      <x:c r="F22" s="48" t="str">
        <x:v>Base patrimonial.</x:v>
      </x:c>
    </x:row>
    <x:row r="23">
      <x:c r="A23" s="48" t="str"/>
      <x:c r="B23" s="48" t="str">
        <x:v>Resultados acumulados</x:v>
      </x:c>
      <x:c r="C23" s="196" t="n">
        <x:f>Laboratorio!B11-C22</x:f>
        <x:v>30000</x:v>
      </x:c>
      <x:c r="D23" s="48" t="str">
        <x:v>Estados financieros y libros contables.</x:v>
      </x:c>
      <x:c r="E23" s="48" t="str">
        <x:v>¿Provienen de utilidades sostenibles?</x:v>
      </x:c>
      <x:c r="F23" s="48" t="str">
        <x:v>Calidad del patrimonio.</x:v>
      </x:c>
    </x:row>
    <x:row r="24">
      <x:c r="A24" s="199" t="str"/>
      <x:c r="B24" s="199" t="str">
        <x:v>TOTAL PATRIMONIO</x:v>
      </x:c>
      <x:c r="C24" s="200" t="n">
        <x:f>SUM(C22:C23)</x:f>
        <x:v>100000</x:v>
      </x:c>
      <x:c r="D24" s="199" t="str"/>
      <x:c r="E24" s="199" t="str"/>
      <x:c r="F24" s="199" t="str"/>
    </x:row>
    <x:row r="25">
      <x:c r="A25" s="48" t="str">
        <x:v>RESULTADOS</x:v>
      </x:c>
      <x:c r="B25" s="48" t="str">
        <x:v>Ventas al contado</x:v>
      </x:c>
      <x:c r="C25" s="196" t="n">
        <x:f>Laboratorio!B15*60%</x:f>
        <x:v>300000</x:v>
      </x:c>
      <x:c r="D25" s="48" t="str">
        <x:v>Boletas/facturas y abonos conciliados.</x:v>
      </x:c>
      <x:c r="E25" s="48" t="str">
        <x:v>¿Son recurrentes?</x:v>
      </x:c>
      <x:c r="F25" s="48" t="str">
        <x:v>Parte de los ingresos.</x:v>
      </x:c>
    </x:row>
    <x:row r="26">
      <x:c r="A26" s="48" t="str"/>
      <x:c r="B26" s="48" t="str">
        <x:v>Ventas al crédito</x:v>
      </x:c>
      <x:c r="C26" s="196" t="n">
        <x:f>Laboratorio!B15-C25</x:f>
        <x:v>200000</x:v>
      </x:c>
      <x:c r="D26" s="48" t="str">
        <x:v>Facturas, contratos y cuentas por cobrar.</x:v>
      </x:c>
      <x:c r="E26" s="48" t="str">
        <x:v>¿Se convierten en caja a tiempo?</x:v>
      </x:c>
      <x:c r="F26" s="48" t="str">
        <x:v>Riesgo de cobranza.</x:v>
      </x:c>
    </x:row>
    <x:row r="27">
      <x:c r="A27" s="199" t="str"/>
      <x:c r="B27" s="199" t="str">
        <x:v>TOTAL INGRESOS</x:v>
      </x:c>
      <x:c r="C27" s="200" t="n">
        <x:f>SUM(C25:C26)</x:f>
        <x:v>500000</x:v>
      </x:c>
      <x:c r="D27" s="199" t="str"/>
      <x:c r="E27" s="199" t="str"/>
      <x:c r="F27" s="199" t="str"/>
    </x:row>
    <x:row r="28">
      <x:c r="A28" s="48" t="str"/>
      <x:c r="B28" s="48" t="str">
        <x:v>Materias primas / mercadería</x:v>
      </x:c>
      <x:c r="C28" s="196" t="n">
        <x:f>Laboratorio!B16*60%</x:f>
        <x:v>180000</x:v>
      </x:c>
      <x:c r="D28" s="48" t="str">
        <x:v>Facturas de compra y kardex.</x:v>
      </x:c>
      <x:c r="E28" s="48" t="str">
        <x:v>¿El costo varía con precios o volumen?</x:v>
      </x:c>
      <x:c r="F28" s="48" t="str">
        <x:v>Componente principal.</x:v>
      </x:c>
    </x:row>
    <x:row r="29">
      <x:c r="A29" s="48" t="str"/>
      <x:c r="B29" s="48" t="str">
        <x:v>Mano de obra</x:v>
      </x:c>
      <x:c r="C29" s="196" t="n">
        <x:f>Laboratorio!B16*23.333333%</x:f>
        <x:v>69999.999</x:v>
      </x:c>
      <x:c r="D29" s="48" t="str">
        <x:v>Planillas/recibos y pagos.</x:v>
      </x:c>
      <x:c r="E29" s="48" t="str">
        <x:v>¿Es fijo o variable?</x:v>
      </x:c>
      <x:c r="F29" s="48" t="str">
        <x:v>Estructura de costos.</x:v>
      </x:c>
    </x:row>
    <x:row r="30">
      <x:c r="A30" s="48" t="str"/>
      <x:c r="B30" s="48" t="str">
        <x:v>Servicios y otros costos</x:v>
      </x:c>
      <x:c r="C30" s="196" t="n">
        <x:f>Laboratorio!B16-C28-C29</x:f>
        <x:v>50000.001000000004</x:v>
      </x:c>
      <x:c r="D30" s="48" t="str">
        <x:v>Recibos, facturas y contratos.</x:v>
      </x:c>
      <x:c r="E30" s="48" t="str">
        <x:v>¿Son recurrentes?</x:v>
      </x:c>
      <x:c r="F30" s="48" t="str">
        <x:v>Otros costos del ejercicio.</x:v>
      </x:c>
    </x:row>
    <x:row r="31">
      <x:c r="A31" s="199" t="str"/>
      <x:c r="B31" s="199" t="str">
        <x:v>TOTAL COSTOS</x:v>
      </x:c>
      <x:c r="C31" s="200" t="n">
        <x:f>SUM(C28:C30)</x:f>
        <x:v>300000</x:v>
      </x:c>
      <x:c r="D31" s="199" t="str"/>
      <x:c r="E31" s="199" t="str"/>
      <x:c r="F31" s="199" t="str"/>
    </x:row>
    <x:row r="32">
      <x:c r="A32" s="199" t="str"/>
      <x:c r="B32" s="199" t="str">
        <x:v>UTILIDAD SIMPLIFICADA</x:v>
      </x:c>
      <x:c r="C32" s="200" t="n">
        <x:f>C27-C31</x:f>
        <x:v>200000</x:v>
      </x:c>
      <x:c r="D32" s="199" t="str">
        <x:v>Estado de resultados conciliado.</x:v>
      </x:c>
      <x:c r="E32" s="199" t="str">
        <x:v>¿La utilidad se convierte en efectivo?</x:v>
      </x:c>
      <x:c r="F32" s="199" t="str">
        <x:v>Ingresos - costos del ejercicio didáctico.</x:v>
      </x:c>
    </x:row>
  </x:sheetData>
  <x:mergeCells>
    <x:mergeCell ref="A1:F2"/>
    <x:mergeCell ref="A3:F4"/>
  </x:mergeCells>
  <x:pageMargins left="0.7" right="0.7" top="0.75" bottom="0.75" header="0.3" footer="0.3"/>
</x:worksheet>
</file>